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5dbed308dcdcd4/Desktop/NHS/"/>
    </mc:Choice>
  </mc:AlternateContent>
  <xr:revisionPtr revIDLastSave="0" documentId="8_{E69DACA6-CFE7-4483-931D-EB1C9D016339}" xr6:coauthVersionLast="47" xr6:coauthVersionMax="47" xr10:uidLastSave="{00000000-0000-0000-0000-000000000000}"/>
  <bookViews>
    <workbookView xWindow="-110" yWindow="-110" windowWidth="19420" windowHeight="10300" activeTab="5" xr2:uid="{C84FA01E-BF8F-4B23-B59D-C04FC6DD176A}"/>
  </bookViews>
  <sheets>
    <sheet name="COVER" sheetId="1" r:id="rId1"/>
    <sheet name="RAW DATA" sheetId="2" r:id="rId2"/>
    <sheet name="ANALYSIS" sheetId="3" r:id="rId3"/>
    <sheet name="CHARTS" sheetId="4" r:id="rId4"/>
    <sheet name="PIVOT" sheetId="6" r:id="rId5"/>
    <sheet name="SUMMARY " sheetId="5" r:id="rId6"/>
  </sheets>
  <definedNames>
    <definedName name="_xlnm._FilterDatabase" localSheetId="1" hidden="1">'RAW DATA'!$A$1:$J$127</definedName>
  </definedNames>
  <calcPr calcId="181029"/>
  <pivotCaches>
    <pivotCache cacheId="0" r:id="rId7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4" l="1"/>
  <c r="E3" i="4"/>
  <c r="E2" i="4"/>
  <c r="F9" i="3"/>
  <c r="B9" i="3"/>
  <c r="D9" i="3"/>
  <c r="C9" i="3"/>
  <c r="B8" i="3"/>
  <c r="D8" i="3"/>
  <c r="G8" i="3" s="1"/>
  <c r="C8" i="3"/>
  <c r="F8" i="3" s="1"/>
  <c r="B7" i="3"/>
  <c r="E7" i="3" s="1"/>
  <c r="D7" i="3"/>
  <c r="D4" i="4" s="1"/>
  <c r="C7" i="3"/>
  <c r="D3" i="4" s="1"/>
  <c r="B6" i="3"/>
  <c r="D6" i="3"/>
  <c r="C6" i="3"/>
  <c r="F6" i="3" s="1"/>
  <c r="D5" i="3"/>
  <c r="G5" i="3" s="1"/>
  <c r="C5" i="3"/>
  <c r="F5" i="3" s="1"/>
  <c r="B5" i="3"/>
  <c r="E5" i="3" s="1"/>
  <c r="B4" i="3"/>
  <c r="E4" i="3" s="1"/>
  <c r="D4" i="3"/>
  <c r="G4" i="3" s="1"/>
  <c r="C4" i="3"/>
  <c r="F4" i="3" s="1"/>
  <c r="D3" i="3"/>
  <c r="B4" i="4" s="1"/>
  <c r="C3" i="3"/>
  <c r="F3" i="3" s="1"/>
  <c r="B3" i="3"/>
  <c r="B2" i="4" s="1"/>
  <c r="E3" i="3" l="1"/>
  <c r="E8" i="3"/>
  <c r="B3" i="4"/>
  <c r="G6" i="3"/>
  <c r="G3" i="3"/>
  <c r="D2" i="4"/>
  <c r="G7" i="3"/>
  <c r="F7" i="3"/>
  <c r="C3" i="4"/>
  <c r="C4" i="4"/>
  <c r="E6" i="3"/>
  <c r="C2" i="4"/>
  <c r="G9" i="3"/>
  <c r="E9" i="3"/>
</calcChain>
</file>

<file path=xl/sharedStrings.xml><?xml version="1.0" encoding="utf-8"?>
<sst xmlns="http://schemas.openxmlformats.org/spreadsheetml/2006/main" count="410" uniqueCount="144">
  <si>
    <t>NHS A&amp;E Performance Analysis</t>
  </si>
  <si>
    <t>Q1 2026 — January to March</t>
  </si>
  <si>
    <t>England — 42 Integrated Care Boards</t>
  </si>
  <si>
    <t>Analyst:</t>
  </si>
  <si>
    <t>Data Source:</t>
  </si>
  <si>
    <t>NHS England — A&amp;E Attendances &amp; Emergency Admissions</t>
  </si>
  <si>
    <t>Aniketha Mishra</t>
  </si>
  <si>
    <t>Period:</t>
  </si>
  <si>
    <t>January 2026 to March 2026</t>
  </si>
  <si>
    <t>How did NHS A&amp;E performance change across Q1 2026 and which areas are struggling most?</t>
  </si>
  <si>
    <t>Month</t>
  </si>
  <si>
    <t xml:space="preserve">ICB Code </t>
  </si>
  <si>
    <t>ICB Name</t>
  </si>
  <si>
    <t>Total Attendances</t>
  </si>
  <si>
    <t>Within 4 Hours</t>
  </si>
  <si>
    <t>Over 4 Hours</t>
  </si>
  <si>
    <t>4hr Rate (All)%</t>
  </si>
  <si>
    <t>4hr Rate Type1 %</t>
  </si>
  <si>
    <t>12hr Breaches</t>
  </si>
  <si>
    <t>QOX</t>
  </si>
  <si>
    <t>QHG</t>
  </si>
  <si>
    <t>QHL</t>
  </si>
  <si>
    <t>QUY</t>
  </si>
  <si>
    <t>QU9</t>
  </si>
  <si>
    <t>QUE</t>
  </si>
  <si>
    <t>QYG</t>
  </si>
  <si>
    <t>QT6</t>
  </si>
  <si>
    <t>QWU</t>
  </si>
  <si>
    <t>QHM</t>
  </si>
  <si>
    <t>QJK</t>
  </si>
  <si>
    <t>QVV</t>
  </si>
  <si>
    <t>QMF</t>
  </si>
  <si>
    <t>QNQ</t>
  </si>
  <si>
    <t>QR1</t>
  </si>
  <si>
    <t>QOP</t>
  </si>
  <si>
    <t>QRL</t>
  </si>
  <si>
    <t>QE1</t>
  </si>
  <si>
    <t>QGH</t>
  </si>
  <si>
    <t>QM7</t>
  </si>
  <si>
    <t>QOQ</t>
  </si>
  <si>
    <t>QJ2</t>
  </si>
  <si>
    <t>QKS</t>
  </si>
  <si>
    <t>QK1</t>
  </si>
  <si>
    <t>QJM</t>
  </si>
  <si>
    <t>QH8</t>
  </si>
  <si>
    <t>QMM</t>
  </si>
  <si>
    <t>QMJ</t>
  </si>
  <si>
    <t>QRV</t>
  </si>
  <si>
    <t>QPM</t>
  </si>
  <si>
    <t>QT1</t>
  </si>
  <si>
    <t>QKK</t>
  </si>
  <si>
    <t>QOC</t>
  </si>
  <si>
    <t>QSL</t>
  </si>
  <si>
    <t>QWE</t>
  </si>
  <si>
    <t>QF7</t>
  </si>
  <si>
    <t>QNC</t>
  </si>
  <si>
    <t>QJG</t>
  </si>
  <si>
    <t>QXU</t>
  </si>
  <si>
    <t>QNX</t>
  </si>
  <si>
    <t>QUA</t>
  </si>
  <si>
    <t>QWO</t>
  </si>
  <si>
    <t>NHS Bath And North East Somerset, Swindon And Wiltshire Integrated Care Board</t>
  </si>
  <si>
    <t>NHS Bedfordshire, Luton And Milton Keynes Integrated Care Board</t>
  </si>
  <si>
    <t>NHS Birmingham And Solihull Integrated Care Board</t>
  </si>
  <si>
    <t>NHS Bristol, North Somerset And South Gloucestershire Integrated Care Board</t>
  </si>
  <si>
    <t>NHS Buckinghamshire, Oxfordshire And Berkshire West Integrated Care Board</t>
  </si>
  <si>
    <t>NHS Cambridgeshire And Peterborough Integrated Care Board</t>
  </si>
  <si>
    <t>NHS Cheshire And Merseyside Integrated Care Board</t>
  </si>
  <si>
    <t>NHS Cornwall And The Isles Of Scilly Integrated Care Board</t>
  </si>
  <si>
    <t>NHS Coventry And Warwickshire Integrated Care Board</t>
  </si>
  <si>
    <t>NHS North East And North Cumbria Integrated Care Board</t>
  </si>
  <si>
    <t>NHS Devon Integrated Care Board</t>
  </si>
  <si>
    <t>NHS Dorset Integrated Care Board</t>
  </si>
  <si>
    <t>NHS North East London Integrated Care Board</t>
  </si>
  <si>
    <t>NHS Frimley Integrated Care Board</t>
  </si>
  <si>
    <t>NHS Gloucestershire Integrated Care Board</t>
  </si>
  <si>
    <t>NHS Greater Manchester Integrated Care Board</t>
  </si>
  <si>
    <t>NHS Hampshire And Isle Of Wight Integrated Care Board</t>
  </si>
  <si>
    <t>NHS Lancashire And South Cumbria Integrated Care Board</t>
  </si>
  <si>
    <t>NHS Herefordshire And Worcestershire Integrated Care Board</t>
  </si>
  <si>
    <t>NHS Hertfordshire And West Essex Integrated Care Board</t>
  </si>
  <si>
    <t>NHS Humber And North Yorkshire Integrated Care Board</t>
  </si>
  <si>
    <t>NHS Derby And Derbyshire Integrated Care Board</t>
  </si>
  <si>
    <t>NHS Kent And Medway Integrated Care Board</t>
  </si>
  <si>
    <t>NHS Leicester, Leicestershire And Rutland Integrated Care Board</t>
  </si>
  <si>
    <t>NHS Lincolnshire Integrated Care Board</t>
  </si>
  <si>
    <t>NHS Mid And South Essex Integrated Care Board</t>
  </si>
  <si>
    <t>NHS Norfolk And Waveney Integrated Care Board</t>
  </si>
  <si>
    <t>NHS North Central London Integrated Care Board</t>
  </si>
  <si>
    <t>NHS North West London Integrated Care Board</t>
  </si>
  <si>
    <t>NHS Northamptonshire Integrated Care Board</t>
  </si>
  <si>
    <t>NHS Nottingham And Nottinghamshire Integrated Care Board</t>
  </si>
  <si>
    <t>NHS South East London Integrated Care Board</t>
  </si>
  <si>
    <t>NHS Shropshire, Telford And Wrekin Integrated Care Board</t>
  </si>
  <si>
    <t>NHS Somerset Integrated Care Board</t>
  </si>
  <si>
    <t>NHS South West London Integrated Care Board</t>
  </si>
  <si>
    <t>NHS South Yorkshire Integrated Care Board</t>
  </si>
  <si>
    <t>NHS Staffordshire And Stoke-On-Trent Integrated Care Board</t>
  </si>
  <si>
    <t>NHS Suffolk And North East Essex Integrated Care Board</t>
  </si>
  <si>
    <t>NHS Surrey Heartlands Integrated Care Board</t>
  </si>
  <si>
    <t>NHS Sussex Integrated Care Board</t>
  </si>
  <si>
    <t>NHS Black Country Integrated Care Board</t>
  </si>
  <si>
    <t>NHS West Yorkshire Integrated Care Board</t>
  </si>
  <si>
    <t>Total Emergency Admissions</t>
  </si>
  <si>
    <t>NHS A&amp;E Performance Summary - Q1 2026</t>
  </si>
  <si>
    <t>Metric</t>
  </si>
  <si>
    <t>Q1 Total/Average</t>
  </si>
  <si>
    <t>Total A&amp;E Attendances</t>
  </si>
  <si>
    <t>Patients Seen Within 4 Hours</t>
  </si>
  <si>
    <t>Patients Waiting Over 4 Hours</t>
  </si>
  <si>
    <t>4hr Rate (All Departments) %</t>
  </si>
  <si>
    <t>4hr Rate (Type 1 Major A&amp;E) %</t>
  </si>
  <si>
    <t>Jan to Feb Change</t>
  </si>
  <si>
    <t>Feb to Mar Change</t>
  </si>
  <si>
    <t>4hr Rate All%</t>
  </si>
  <si>
    <t>4hr Rate Type1%</t>
  </si>
  <si>
    <t xml:space="preserve">95% Target </t>
  </si>
  <si>
    <t>NHS A&amp;E Performance Analysis — Q1 2026</t>
  </si>
  <si>
    <t>Executive Summary</t>
  </si>
  <si>
    <t>Key Findings</t>
  </si>
  <si>
    <t>A&amp;E performance remained below the NHS 95% target for all 3 months of Q1 2026</t>
  </si>
  <si>
    <t>The overall 4-hour rate improved from 71% in January to 76% in March — a positive trend but still 19 percentage points below target</t>
  </si>
  <si>
    <t>Type 1 (Major A&amp;E) performance was critically low — only 56% of seriously ill patients were seen within 4 hours in January</t>
  </si>
  <si>
    <t>12-hour breaches fell from 71,517 in January to 46,665 in March — a reduction of nearly 25,000 patients in one quarter</t>
  </si>
  <si>
    <t>February had the lowest attendances at 2,117,450 — reflecting the shorter month, not a genuine reduction in demand</t>
  </si>
  <si>
    <t xml:space="preserve">Recommendations </t>
  </si>
  <si>
    <t>Prioritise Type 1 A&amp;E capacity — with only 56% of major A&amp;E patients seen within 4 hours in January, urgent investment in staffing and bed availability is needed in the worst performing ICBs</t>
  </si>
  <si>
    <t>Investigate the 10 worst performing ICBs — regional variation is significant and targeted support should be directed at consistently underperforming areas</t>
  </si>
  <si>
    <t>Continue monitoring 12-hour breach reduction — the downward trend is encouraging but 46,665 breaches in a single month remains unacceptably high</t>
  </si>
  <si>
    <t xml:space="preserve">Limitations </t>
  </si>
  <si>
    <t>This analysis covers system-level data only — provider-level variation within each ICB is not captured</t>
  </si>
  <si>
    <t>Three months of data is insufficient to determine whether the improving trend will be sustained</t>
  </si>
  <si>
    <t>Percentage rates are averaged across ICBs which may differ slightly from NHS England published national figures</t>
  </si>
  <si>
    <t>Row Labels</t>
  </si>
  <si>
    <t>Grand Total</t>
  </si>
  <si>
    <t>Column Labels</t>
  </si>
  <si>
    <t>Jan</t>
  </si>
  <si>
    <t>Feb</t>
  </si>
  <si>
    <t>Mar</t>
  </si>
  <si>
    <t>Average of 4hr Rate (All)%</t>
  </si>
  <si>
    <t>NHS Shropshire, Telford and Wrekin was the worst performing ICB with an average 4-hour rate of just 60.8% — 34 percentage points below the 95% target</t>
  </si>
  <si>
    <t>A 19.7 percentage point gap exists between the best and worst performing ICBs, highlighting significant regional inequality in A&amp;E performance across England</t>
  </si>
  <si>
    <t>Sum of 12hr Breaches</t>
  </si>
  <si>
    <t>Conditional formatting analysis revealed every single Type 1 (Major A&amp;E) rate across all 42 ICBs and all 3 months fell below 76% — visually confirming a system-wide crisis in major emergency departments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</si>
</sst>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10"/>
      <name val="Verdana"/>
      <family val="2"/>
    </font>
    <font>
      <sz val="10"/>
      <name val="Arial"/>
      <family val="2"/>
    </font>
    <font>
      <b/>
      <sz val="18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81">
    <xf numFmtId="0" fontId="0" fillId="0" borderId="0" xfId="0"/>
    <xf numFmtId="0" fontId="3" fillId="0" borderId="0" xfId="0" applyFont="1"/>
    <xf numFmtId="3" fontId="6" fillId="3" borderId="1" xfId="0" applyNumberFormat="1" applyFont="1" applyFill="1" applyBorder="1"/>
    <xf numFmtId="3" fontId="6" fillId="3" borderId="2" xfId="0" applyNumberFormat="1" applyFont="1" applyFill="1" applyBorder="1"/>
    <xf numFmtId="3" fontId="6" fillId="3" borderId="3" xfId="0" applyNumberFormat="1" applyFont="1" applyFill="1" applyBorder="1"/>
    <xf numFmtId="3" fontId="6" fillId="4" borderId="2" xfId="0" applyNumberFormat="1" applyFont="1" applyFill="1" applyBorder="1"/>
    <xf numFmtId="3" fontId="6" fillId="4" borderId="3" xfId="0" applyNumberFormat="1" applyFont="1" applyFill="1" applyBorder="1"/>
    <xf numFmtId="3" fontId="6" fillId="3" borderId="4" xfId="0" applyNumberFormat="1" applyFont="1" applyFill="1" applyBorder="1"/>
    <xf numFmtId="3" fontId="6" fillId="3" borderId="5" xfId="0" applyNumberFormat="1" applyFont="1" applyFill="1" applyBorder="1"/>
    <xf numFmtId="164" fontId="6" fillId="3" borderId="1" xfId="0" applyNumberFormat="1" applyFont="1" applyFill="1" applyBorder="1"/>
    <xf numFmtId="164" fontId="6" fillId="3" borderId="2" xfId="0" applyNumberFormat="1" applyFont="1" applyFill="1" applyBorder="1"/>
    <xf numFmtId="164" fontId="6" fillId="3" borderId="3" xfId="0" applyNumberFormat="1" applyFont="1" applyFill="1" applyBorder="1"/>
    <xf numFmtId="0" fontId="6" fillId="0" borderId="2" xfId="0" applyFont="1" applyBorder="1"/>
    <xf numFmtId="0" fontId="6" fillId="0" borderId="3" xfId="0" applyFont="1" applyBorder="1"/>
    <xf numFmtId="0" fontId="6" fillId="3" borderId="0" xfId="0" applyFont="1" applyFill="1"/>
    <xf numFmtId="3" fontId="6" fillId="3" borderId="2" xfId="3" applyNumberFormat="1" applyFont="1" applyFill="1" applyBorder="1"/>
    <xf numFmtId="3" fontId="6" fillId="3" borderId="3" xfId="3" applyNumberFormat="1" applyFont="1" applyFill="1" applyBorder="1"/>
    <xf numFmtId="0" fontId="9" fillId="0" borderId="0" xfId="0" applyFont="1"/>
    <xf numFmtId="0" fontId="3" fillId="0" borderId="0" xfId="0" applyFont="1" applyAlignment="1">
      <alignment horizontal="left"/>
    </xf>
    <xf numFmtId="0" fontId="10" fillId="2" borderId="0" xfId="0" applyFont="1" applyFill="1"/>
    <xf numFmtId="0" fontId="0" fillId="0" borderId="0" xfId="0" applyAlignment="1">
      <alignment horizontal="left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7" fontId="0" fillId="0" borderId="9" xfId="0" applyNumberFormat="1" applyBorder="1" applyAlignment="1">
      <alignment horizontal="center"/>
    </xf>
    <xf numFmtId="0" fontId="0" fillId="0" borderId="0" xfId="0" applyBorder="1"/>
    <xf numFmtId="9" fontId="0" fillId="0" borderId="0" xfId="2" applyFont="1" applyBorder="1"/>
    <xf numFmtId="9" fontId="0" fillId="0" borderId="0" xfId="0" applyNumberFormat="1" applyBorder="1"/>
    <xf numFmtId="164" fontId="0" fillId="0" borderId="10" xfId="2" applyNumberFormat="1" applyFont="1" applyBorder="1"/>
    <xf numFmtId="17" fontId="0" fillId="0" borderId="11" xfId="0" applyNumberFormat="1" applyBorder="1" applyAlignment="1">
      <alignment horizontal="center"/>
    </xf>
    <xf numFmtId="0" fontId="0" fillId="0" borderId="12" xfId="0" applyBorder="1"/>
    <xf numFmtId="9" fontId="0" fillId="0" borderId="12" xfId="0" applyNumberFormat="1" applyBorder="1"/>
    <xf numFmtId="164" fontId="0" fillId="0" borderId="13" xfId="2" applyNumberFormat="1" applyFont="1" applyBorder="1"/>
    <xf numFmtId="0" fontId="9" fillId="5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17" fontId="2" fillId="2" borderId="7" xfId="0" applyNumberFormat="1" applyFont="1" applyFill="1" applyBorder="1" applyAlignment="1">
      <alignment horizontal="center"/>
    </xf>
    <xf numFmtId="0" fontId="0" fillId="0" borderId="9" xfId="0" applyBorder="1"/>
    <xf numFmtId="165" fontId="0" fillId="0" borderId="0" xfId="1" applyNumberFormat="1" applyFont="1" applyBorder="1"/>
    <xf numFmtId="165" fontId="0" fillId="0" borderId="10" xfId="1" applyNumberFormat="1" applyFont="1" applyBorder="1"/>
    <xf numFmtId="9" fontId="0" fillId="0" borderId="10" xfId="0" applyNumberFormat="1" applyBorder="1"/>
    <xf numFmtId="0" fontId="0" fillId="0" borderId="11" xfId="0" applyBorder="1"/>
    <xf numFmtId="165" fontId="0" fillId="0" borderId="12" xfId="1" applyNumberFormat="1" applyFont="1" applyBorder="1"/>
    <xf numFmtId="165" fontId="0" fillId="0" borderId="13" xfId="1" applyNumberFormat="1" applyFont="1" applyBorder="1"/>
    <xf numFmtId="0" fontId="4" fillId="5" borderId="6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6" fillId="0" borderId="4" xfId="0" applyFont="1" applyBorder="1"/>
    <xf numFmtId="164" fontId="6" fillId="3" borderId="4" xfId="0" applyNumberFormat="1" applyFont="1" applyFill="1" applyBorder="1"/>
    <xf numFmtId="3" fontId="6" fillId="3" borderId="4" xfId="3" applyNumberFormat="1" applyFont="1" applyFill="1" applyBorder="1"/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17" fontId="0" fillId="0" borderId="9" xfId="0" applyNumberFormat="1" applyBorder="1"/>
    <xf numFmtId="3" fontId="6" fillId="3" borderId="14" xfId="0" applyNumberFormat="1" applyFont="1" applyFill="1" applyBorder="1"/>
    <xf numFmtId="3" fontId="6" fillId="3" borderId="15" xfId="0" applyNumberFormat="1" applyFont="1" applyFill="1" applyBorder="1"/>
    <xf numFmtId="3" fontId="6" fillId="3" borderId="16" xfId="0" applyNumberFormat="1" applyFont="1" applyFill="1" applyBorder="1"/>
    <xf numFmtId="17" fontId="0" fillId="0" borderId="11" xfId="0" applyNumberFormat="1" applyBorder="1"/>
    <xf numFmtId="3" fontId="6" fillId="3" borderId="17" xfId="0" applyNumberFormat="1" applyFont="1" applyFill="1" applyBorder="1"/>
    <xf numFmtId="3" fontId="6" fillId="4" borderId="17" xfId="0" applyNumberFormat="1" applyFont="1" applyFill="1" applyBorder="1"/>
    <xf numFmtId="3" fontId="6" fillId="3" borderId="18" xfId="0" applyNumberFormat="1" applyFont="1" applyFill="1" applyBorder="1"/>
    <xf numFmtId="164" fontId="6" fillId="3" borderId="17" xfId="0" applyNumberFormat="1" applyFont="1" applyFill="1" applyBorder="1"/>
    <xf numFmtId="3" fontId="6" fillId="3" borderId="19" xfId="0" applyNumberFormat="1" applyFont="1" applyFill="1" applyBorder="1"/>
    <xf numFmtId="0" fontId="0" fillId="0" borderId="9" xfId="0" applyBorder="1" applyAlignment="1">
      <alignment horizontal="left"/>
    </xf>
    <xf numFmtId="164" fontId="0" fillId="0" borderId="0" xfId="0" applyNumberFormat="1" applyBorder="1"/>
    <xf numFmtId="164" fontId="0" fillId="0" borderId="10" xfId="0" applyNumberFormat="1" applyBorder="1"/>
    <xf numFmtId="3" fontId="0" fillId="0" borderId="0" xfId="0" applyNumberFormat="1" applyBorder="1"/>
    <xf numFmtId="3" fontId="0" fillId="0" borderId="10" xfId="0" applyNumberFormat="1" applyBorder="1"/>
    <xf numFmtId="0" fontId="11" fillId="2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0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left"/>
    </xf>
    <xf numFmtId="164" fontId="11" fillId="2" borderId="12" xfId="0" applyNumberFormat="1" applyFont="1" applyFill="1" applyBorder="1"/>
    <xf numFmtId="164" fontId="11" fillId="2" borderId="13" xfId="0" applyNumberFormat="1" applyFont="1" applyFill="1" applyBorder="1"/>
    <xf numFmtId="3" fontId="11" fillId="2" borderId="12" xfId="0" applyNumberFormat="1" applyFont="1" applyFill="1" applyBorder="1"/>
    <xf numFmtId="3" fontId="11" fillId="2" borderId="13" xfId="0" applyNumberFormat="1" applyFont="1" applyFill="1" applyBorder="1"/>
    <xf numFmtId="0" fontId="10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</cellXfs>
  <cellStyles count="4">
    <cellStyle name="Comma" xfId="1" builtinId="3"/>
    <cellStyle name="Normal" xfId="0" builtinId="0"/>
    <cellStyle name="Normal 3" xfId="3" xr:uid="{3BC02EAE-D0CF-4830-A27B-2D0F5A62993B}"/>
    <cellStyle name="Percent" xfId="2" builtinId="5"/>
  </cellStyles>
  <dxfs count="109"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alignment vertical="center"/>
    </dxf>
    <dxf>
      <alignment vertical="bottom"/>
    </dxf>
    <dxf>
      <alignment vertical="center"/>
    </dxf>
    <dxf>
      <alignment vertical="bottom"/>
    </dxf>
    <dxf>
      <alignment vertical="center"/>
    </dxf>
    <dxf>
      <alignment vertical="bottom"/>
    </dxf>
    <dxf>
      <alignment vertical="center"/>
    </dxf>
    <dxf>
      <alignment vertical="bottom"/>
    </dxf>
    <dxf>
      <alignment vertical="center"/>
    </dxf>
    <dxf>
      <alignment vertical="bottom"/>
    </dxf>
    <dxf>
      <alignment vertical="center"/>
    </dxf>
    <dxf>
      <alignment vertical="bottom"/>
    </dxf>
    <dxf>
      <alignment vertical="center"/>
    </dxf>
    <dxf>
      <alignment vertical="bottom"/>
    </dxf>
    <dxf>
      <alignment vertical="center"/>
    </dxf>
    <dxf>
      <alignment vertical="bottom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D629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12-Hour A&amp;E Breaches — Q1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CHARTS!$E$1</c:f>
              <c:strCache>
                <c:ptCount val="1"/>
                <c:pt idx="0">
                  <c:v>12hr Breaches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CHARTS!$A$2:$A$4</c:f>
              <c:numCache>
                <c:formatCode>mmm\-yy</c:formatCode>
                <c:ptCount val="3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</c:numCache>
            </c:numRef>
          </c:cat>
          <c:val>
            <c:numRef>
              <c:f>CHARTS!$E$2:$E$4</c:f>
              <c:numCache>
                <c:formatCode>General</c:formatCode>
                <c:ptCount val="3"/>
                <c:pt idx="0">
                  <c:v>71517</c:v>
                </c:pt>
                <c:pt idx="1">
                  <c:v>54649</c:v>
                </c:pt>
                <c:pt idx="2">
                  <c:v>46665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8-4EAE-A14D-C7A0B7B58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5978400"/>
        <c:axId val="335979360"/>
      </c:barChart>
      <c:dateAx>
        <c:axId val="3359784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979360"/>
        <c:crosses val="autoZero"/>
        <c:auto val="1"/>
        <c:lblOffset val="100"/>
        <c:baseTimeUnit val="months"/>
      </c:dateAx>
      <c:valAx>
        <c:axId val="33597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978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4-Hour Performance Rate vs 95% Target — Q1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CHARTS!$C$1</c:f>
              <c:strCache>
                <c:ptCount val="1"/>
                <c:pt idx="0">
                  <c:v>4hr Rate All%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CHARTS!$A$2:$A$4</c:f>
              <c:numCache>
                <c:formatCode>mmm\-yy</c:formatCode>
                <c:ptCount val="3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</c:numCache>
            </c:numRef>
          </c:cat>
          <c:val>
            <c:numRef>
              <c:f>CHARTS!$C$2:$C$4</c:f>
              <c:numCache>
                <c:formatCode>0%</c:formatCode>
                <c:ptCount val="3"/>
                <c:pt idx="0">
                  <c:v>0.71412932782298122</c:v>
                </c:pt>
                <c:pt idx="1">
                  <c:v>0.73004077907792719</c:v>
                </c:pt>
                <c:pt idx="2">
                  <c:v>0.76032868940907239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4E-462E-B17C-C5AD1A52F411}"/>
            </c:ext>
          </c:extLst>
        </c:ser>
        <c:ser>
          <c:idx val="1"/>
          <c:order val="1"/>
          <c:tx>
            <c:strRef>
              <c:f>CHARTS!$F$1</c:f>
              <c:strCache>
                <c:ptCount val="1"/>
                <c:pt idx="0">
                  <c:v>95% Target </c:v>
                </c:pt>
              </c:strCache>
            </c:strRef>
          </c:tx>
          <c:spPr>
            <a:ln w="28575" cap="rnd">
              <a:solidFill>
                <a:srgbClr val="D62900"/>
              </a:solidFill>
              <a:round/>
            </a:ln>
            <a:effectLst/>
          </c:spPr>
          <c:marker>
            <c:symbol val="none"/>
          </c:marker>
          <c:cat>
            <c:numRef>
              <c:f>CHARTS!$A$2:$A$4</c:f>
              <c:numCache>
                <c:formatCode>mmm\-yy</c:formatCode>
                <c:ptCount val="3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</c:numCache>
            </c:numRef>
          </c:cat>
          <c:val>
            <c:numRef>
              <c:f>CHARTS!$F$2:$F$4</c:f>
              <c:numCache>
                <c:formatCode>0.0%</c:formatCode>
                <c:ptCount val="3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4E-462E-B17C-C5AD1A52F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6864592"/>
        <c:axId val="726868912"/>
      </c:lineChart>
      <c:dateAx>
        <c:axId val="7268645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868912"/>
        <c:crosses val="autoZero"/>
        <c:auto val="1"/>
        <c:lblOffset val="100"/>
        <c:baseTimeUnit val="months"/>
      </c:dateAx>
      <c:valAx>
        <c:axId val="726868912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86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A&amp;E Attendances by Month — Q1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Total Attendances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CHARTS!$A$2:$A$4</c:f>
              <c:numCache>
                <c:formatCode>mmm\-yy</c:formatCode>
                <c:ptCount val="3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</c:numCache>
            </c:numRef>
          </c:cat>
          <c:val>
            <c:numRef>
              <c:f>CHARTS!$B$2:$B$4</c:f>
              <c:numCache>
                <c:formatCode>General</c:formatCode>
                <c:ptCount val="3"/>
                <c:pt idx="0">
                  <c:v>2320266</c:v>
                </c:pt>
                <c:pt idx="1">
                  <c:v>2117450</c:v>
                </c:pt>
                <c:pt idx="2">
                  <c:v>2432253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B-4215-A9EA-4D33D2223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7318832"/>
        <c:axId val="677320272"/>
      </c:barChart>
      <c:dateAx>
        <c:axId val="6773188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320272"/>
        <c:crosses val="autoZero"/>
        <c:auto val="1"/>
        <c:lblOffset val="100"/>
        <c:baseTimeUnit val="months"/>
      </c:dateAx>
      <c:valAx>
        <c:axId val="67732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318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19050</xdr:rowOff>
    </xdr:from>
    <xdr:to>
      <xdr:col>4</xdr:col>
      <xdr:colOff>301625</xdr:colOff>
      <xdr:row>17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2AD77D-025C-CF14-1521-E4A1A2FBA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447675</xdr:colOff>
      <xdr:row>5</xdr:row>
      <xdr:rowOff>25400</xdr:rowOff>
    </xdr:from>
    <xdr:to>
      <xdr:col>10</xdr:col>
      <xdr:colOff>254000</xdr:colOff>
      <xdr:row>17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6BC249-4394-8584-E96F-5B9EDBEA2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257175</xdr:colOff>
      <xdr:row>17</xdr:row>
      <xdr:rowOff>127000</xdr:rowOff>
    </xdr:from>
    <xdr:to>
      <xdr:col>7</xdr:col>
      <xdr:colOff>466725</xdr:colOff>
      <xdr:row>32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9796CE-FB8A-30E6-0D17-7695335B3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nan kismis" refreshedDate="46145.97292453704" createdVersion="8" refreshedVersion="8" minRefreshableVersion="3" recordCount="126" xr:uid="{CC9A3142-DBB8-4601-802D-28250005CDAF}">
  <cacheSource type="worksheet">
    <worksheetSource ref="A1:J127" sheet="RAW DATA"/>
  </cacheSource>
  <cacheFields count="12">
    <cacheField name="Month" numFmtId="17">
      <sharedItems containsSemiMixedTypes="0" containsNonDate="0" containsDate="1" containsString="0" minDate="2026-01-01T00:00:00" maxDate="2026-03-02T00:00:00" count="3">
        <d v="2026-01-01T00:00:00"/>
        <d v="2026-02-01T00:00:00"/>
        <d v="2026-03-01T00:00:00"/>
      </sharedItems>
      <fieldGroup par="11"/>
    </cacheField>
    <cacheField name="ICB Code " numFmtId="3">
      <sharedItems/>
    </cacheField>
    <cacheField name="ICB Name" numFmtId="3">
      <sharedItems count="42">
        <s v="NHS Bath And North East Somerset, Swindon And Wiltshire Integrated Care Board"/>
        <s v="NHS Bedfordshire, Luton And Milton Keynes Integrated Care Board"/>
        <s v="NHS Birmingham And Solihull Integrated Care Board"/>
        <s v="NHS Bristol, North Somerset And South Gloucestershire Integrated Care Board"/>
        <s v="NHS Buckinghamshire, Oxfordshire And Berkshire West Integrated Care Board"/>
        <s v="NHS Cambridgeshire And Peterborough Integrated Care Board"/>
        <s v="NHS Cheshire And Merseyside Integrated Care Board"/>
        <s v="NHS Cornwall And The Isles Of Scilly Integrated Care Board"/>
        <s v="NHS Coventry And Warwickshire Integrated Care Board"/>
        <s v="NHS North East And North Cumbria Integrated Care Board"/>
        <s v="NHS Devon Integrated Care Board"/>
        <s v="NHS Dorset Integrated Care Board"/>
        <s v="NHS North East London Integrated Care Board"/>
        <s v="NHS Frimley Integrated Care Board"/>
        <s v="NHS Gloucestershire Integrated Care Board"/>
        <s v="NHS Greater Manchester Integrated Care Board"/>
        <s v="NHS Hampshire And Isle Of Wight Integrated Care Board"/>
        <s v="NHS Lancashire And South Cumbria Integrated Care Board"/>
        <s v="NHS Herefordshire And Worcestershire Integrated Care Board"/>
        <s v="NHS Hertfordshire And West Essex Integrated Care Board"/>
        <s v="NHS Humber And North Yorkshire Integrated Care Board"/>
        <s v="NHS Derby And Derbyshire Integrated Care Board"/>
        <s v="NHS Kent And Medway Integrated Care Board"/>
        <s v="NHS Leicester, Leicestershire And Rutland Integrated Care Board"/>
        <s v="NHS Lincolnshire Integrated Care Board"/>
        <s v="NHS Mid And South Essex Integrated Care Board"/>
        <s v="NHS Norfolk And Waveney Integrated Care Board"/>
        <s v="NHS North Central London Integrated Care Board"/>
        <s v="NHS North West London Integrated Care Board"/>
        <s v="NHS Northamptonshire Integrated Care Board"/>
        <s v="NHS Nottingham And Nottinghamshire Integrated Care Board"/>
        <s v="NHS South East London Integrated Care Board"/>
        <s v="NHS Shropshire, Telford And Wrekin Integrated Care Board"/>
        <s v="NHS Somerset Integrated Care Board"/>
        <s v="NHS South West London Integrated Care Board"/>
        <s v="NHS South Yorkshire Integrated Care Board"/>
        <s v="NHS Staffordshire And Stoke-On-Trent Integrated Care Board"/>
        <s v="NHS Suffolk And North East Essex Integrated Care Board"/>
        <s v="NHS Surrey Heartlands Integrated Care Board"/>
        <s v="NHS Sussex Integrated Care Board"/>
        <s v="NHS Black Country Integrated Care Board"/>
        <s v="NHS West Yorkshire Integrated Care Board"/>
      </sharedItems>
    </cacheField>
    <cacheField name="Total Attendances" numFmtId="3">
      <sharedItems containsSemiMixedTypes="0" containsString="0" containsNumber="1" containsInteger="1" minValue="15118" maxValue="154741"/>
    </cacheField>
    <cacheField name="Within 4 Hours" numFmtId="3">
      <sharedItems containsSemiMixedTypes="0" containsString="0" containsNumber="1" containsInteger="1" minValue="9198" maxValue="124701"/>
    </cacheField>
    <cacheField name="Over 4 Hours" numFmtId="3">
      <sharedItems containsSemiMixedTypes="0" containsString="0" containsNumber="1" containsInteger="1" minValue="3992" maxValue="40856"/>
    </cacheField>
    <cacheField name="4hr Rate (All)%" numFmtId="164">
      <sharedItems containsSemiMixedTypes="0" containsString="0" containsNumber="1" minValue="0.60108121699773698" maxValue="0.83481109897636196"/>
    </cacheField>
    <cacheField name="4hr Rate Type1 %" numFmtId="164">
      <sharedItems containsSemiMixedTypes="0" containsString="0" containsNumber="1" minValue="0.41993909280333386" maxValue="0.74477962781586682"/>
    </cacheField>
    <cacheField name="Total Emergency Admissions" numFmtId="3">
      <sharedItems containsSemiMixedTypes="0" containsString="0" containsNumber="1" containsInteger="1" minValue="3673" maxValue="38510"/>
    </cacheField>
    <cacheField name="12hr Breaches" numFmtId="3">
      <sharedItems containsSemiMixedTypes="0" containsString="0" containsNumber="1" containsInteger="1" minValue="15" maxValue="6011"/>
    </cacheField>
    <cacheField name="Days (Month)" numFmtId="0" databaseField="0">
      <fieldGroup base="0">
        <rangePr groupBy="days" startDate="2026-01-01T00:00:00" endDate="2026-03-02T00:00:00"/>
        <groupItems count="368">
          <s v="&lt;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2/2026"/>
        </groupItems>
      </fieldGroup>
    </cacheField>
    <cacheField name="Months (Month)" numFmtId="0" databaseField="0">
      <fieldGroup base="0">
        <rangePr groupBy="months" startDate="2026-01-01T00:00:00" endDate="2026-03-02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">
  <r>
    <x v="0"/>
    <s v="QOX"/>
    <x v="0"/>
    <n v="31516"/>
    <n v="21237"/>
    <n v="10279"/>
    <n v="0.67384820408681301"/>
    <n v="0.50937329969827372"/>
    <n v="11613"/>
    <n v="962"/>
  </r>
  <r>
    <x v="0"/>
    <s v="QHG"/>
    <x v="1"/>
    <n v="44934"/>
    <n v="33639"/>
    <n v="11295"/>
    <n v="0.74863132594471893"/>
    <n v="0.57409603979338053"/>
    <n v="10880"/>
    <n v="92"/>
  </r>
  <r>
    <x v="0"/>
    <s v="QHL"/>
    <x v="2"/>
    <n v="52473"/>
    <n v="36915"/>
    <n v="15558"/>
    <n v="0.70350465953919161"/>
    <n v="0.5931061598951507"/>
    <n v="19413"/>
    <n v="2080"/>
  </r>
  <r>
    <x v="0"/>
    <s v="QUY"/>
    <x v="3"/>
    <n v="35662"/>
    <n v="25689"/>
    <n v="9973"/>
    <n v="0.7203465874039594"/>
    <n v="0.6158052284973059"/>
    <n v="12874"/>
    <n v="1357"/>
  </r>
  <r>
    <x v="0"/>
    <s v="QU9"/>
    <x v="4"/>
    <n v="56265"/>
    <n v="43075"/>
    <n v="13190"/>
    <n v="0.76557362481116142"/>
    <n v="0.64486110344065828"/>
    <n v="18485"/>
    <n v="503"/>
  </r>
  <r>
    <x v="0"/>
    <s v="QUE"/>
    <x v="5"/>
    <n v="37840"/>
    <n v="25616"/>
    <n v="12224"/>
    <n v="0.67695560253699794"/>
    <n v="0.56377430061640588"/>
    <n v="8882"/>
    <n v="1785"/>
  </r>
  <r>
    <x v="0"/>
    <s v="QYG"/>
    <x v="6"/>
    <n v="122282"/>
    <n v="87403"/>
    <n v="34879"/>
    <n v="0.71476586905677042"/>
    <n v="0.53767619365981389"/>
    <n v="31370"/>
    <n v="6011"/>
  </r>
  <r>
    <x v="0"/>
    <s v="QT6"/>
    <x v="7"/>
    <n v="17447"/>
    <n v="13052"/>
    <n v="4395"/>
    <n v="0.74809422823408034"/>
    <n v="0.45085344320188347"/>
    <n v="4157"/>
    <n v="773"/>
  </r>
  <r>
    <x v="0"/>
    <s v="QWU"/>
    <x v="8"/>
    <n v="38225"/>
    <n v="27502"/>
    <n v="10723"/>
    <n v="0.71947678221059519"/>
    <n v="0.62522812667740202"/>
    <n v="5109"/>
    <n v="811"/>
  </r>
  <r>
    <x v="0"/>
    <s v="QHM"/>
    <x v="9"/>
    <n v="144375"/>
    <n v="108114"/>
    <n v="36261"/>
    <n v="0.74884155844155842"/>
    <n v="0.53082123284931393"/>
    <n v="36653"/>
    <n v="809"/>
  </r>
  <r>
    <x v="0"/>
    <s v="QJK"/>
    <x v="10"/>
    <n v="47093"/>
    <n v="31460"/>
    <n v="15633"/>
    <n v="0.66803983606905482"/>
    <n v="0.48547939711927279"/>
    <n v="13784"/>
    <n v="1343"/>
  </r>
  <r>
    <x v="0"/>
    <s v="QVV"/>
    <x v="11"/>
    <n v="26942"/>
    <n v="18247"/>
    <n v="8695"/>
    <n v="0.6772696904461436"/>
    <n v="0.54986536868268432"/>
    <n v="9440"/>
    <n v="812"/>
  </r>
  <r>
    <x v="0"/>
    <s v="QMF"/>
    <x v="12"/>
    <n v="93390"/>
    <n v="70559"/>
    <n v="22831"/>
    <n v="0.75553057072491703"/>
    <n v="0.59187700242244279"/>
    <n v="13618"/>
    <n v="2749"/>
  </r>
  <r>
    <x v="0"/>
    <s v="QNQ"/>
    <x v="13"/>
    <n v="35682"/>
    <n v="24311"/>
    <n v="11371"/>
    <n v="0.68132391682080606"/>
    <n v="0.52324384595591389"/>
    <n v="6731"/>
    <n v="743"/>
  </r>
  <r>
    <x v="0"/>
    <s v="QR1"/>
    <x v="14"/>
    <n v="22209"/>
    <n v="16690"/>
    <n v="5519"/>
    <n v="0.75149714079877528"/>
    <n v="0.60289047025163234"/>
    <n v="6097"/>
    <n v="543"/>
  </r>
  <r>
    <x v="0"/>
    <s v="QOP"/>
    <x v="15"/>
    <n v="128996"/>
    <n v="88140"/>
    <n v="40856"/>
    <n v="0.6832770008372353"/>
    <n v="0.56356740451581422"/>
    <n v="29474"/>
    <n v="4364"/>
  </r>
  <r>
    <x v="0"/>
    <s v="QRL"/>
    <x v="16"/>
    <n v="66637"/>
    <n v="49058"/>
    <n v="17579"/>
    <n v="0.73619760793553135"/>
    <n v="0.56652460286710582"/>
    <n v="18170"/>
    <n v="1771"/>
  </r>
  <r>
    <x v="0"/>
    <s v="QE1"/>
    <x v="17"/>
    <n v="75599"/>
    <n v="56274"/>
    <n v="19325"/>
    <n v="0.74437492559425389"/>
    <n v="0.58931529854980369"/>
    <n v="19188"/>
    <n v="3343"/>
  </r>
  <r>
    <x v="0"/>
    <s v="QGH"/>
    <x v="18"/>
    <n v="26062"/>
    <n v="16536"/>
    <n v="9526"/>
    <n v="0.6344869925562121"/>
    <n v="0.5237855777934225"/>
    <n v="5777"/>
    <n v="1706"/>
  </r>
  <r>
    <x v="0"/>
    <s v="QM7"/>
    <x v="19"/>
    <n v="50180"/>
    <n v="39088"/>
    <n v="11092"/>
    <n v="0.77895575926664007"/>
    <n v="0.60274072720628535"/>
    <n v="10272"/>
    <n v="670"/>
  </r>
  <r>
    <x v="0"/>
    <s v="QOQ"/>
    <x v="20"/>
    <n v="65416"/>
    <n v="45077"/>
    <n v="20339"/>
    <n v="0.68908218172924052"/>
    <n v="0.46581977194730434"/>
    <n v="20383"/>
    <n v="2968"/>
  </r>
  <r>
    <x v="0"/>
    <s v="QJ2"/>
    <x v="21"/>
    <n v="52022"/>
    <n v="36776"/>
    <n v="15246"/>
    <n v="0.70693168274960594"/>
    <n v="0.44733824127853206"/>
    <n v="8327"/>
    <n v="2172"/>
  </r>
  <r>
    <x v="0"/>
    <s v="QKS"/>
    <x v="22"/>
    <n v="96203"/>
    <n v="76105"/>
    <n v="20098"/>
    <n v="0.79108759602091416"/>
    <n v="0.65433500604373462"/>
    <n v="13278"/>
    <n v="3208"/>
  </r>
  <r>
    <x v="0"/>
    <s v="QK1"/>
    <x v="23"/>
    <n v="40133"/>
    <n v="30664"/>
    <n v="9469"/>
    <n v="0.76405950215533347"/>
    <n v="0.59216325811001413"/>
    <n v="11272"/>
    <n v="1017"/>
  </r>
  <r>
    <x v="0"/>
    <s v="QJM"/>
    <x v="24"/>
    <n v="29950"/>
    <n v="21704"/>
    <n v="8246"/>
    <n v="0.72467445742904846"/>
    <n v="0.54888137963178751"/>
    <n v="6377"/>
    <n v="1595"/>
  </r>
  <r>
    <x v="0"/>
    <s v="QH8"/>
    <x v="25"/>
    <n v="33730"/>
    <n v="21839"/>
    <n v="11891"/>
    <n v="0.6474651645419508"/>
    <n v="0.56546598056032016"/>
    <n v="9604"/>
    <n v="951"/>
  </r>
  <r>
    <x v="0"/>
    <s v="QMM"/>
    <x v="26"/>
    <n v="37232"/>
    <n v="27446"/>
    <n v="9786"/>
    <n v="0.7371615814353244"/>
    <n v="0.62831421408493504"/>
    <n v="8344"/>
    <n v="1201"/>
  </r>
  <r>
    <x v="0"/>
    <s v="QMJ"/>
    <x v="27"/>
    <n v="72295"/>
    <n v="54189"/>
    <n v="18106"/>
    <n v="0.74955391105885605"/>
    <n v="0.66836714438842348"/>
    <n v="10798"/>
    <n v="3201"/>
  </r>
  <r>
    <x v="0"/>
    <s v="QRV"/>
    <x v="28"/>
    <n v="105631"/>
    <n v="82208"/>
    <n v="23423"/>
    <n v="0.77825638306936407"/>
    <n v="0.58139180462156859"/>
    <n v="16186"/>
    <n v="864"/>
  </r>
  <r>
    <x v="0"/>
    <s v="QPM"/>
    <x v="29"/>
    <n v="32707"/>
    <n v="24088"/>
    <n v="8619"/>
    <n v="0.73647842969394928"/>
    <n v="0.60177736202057996"/>
    <n v="5299"/>
    <n v="1570"/>
  </r>
  <r>
    <x v="0"/>
    <s v="QT1"/>
    <x v="30"/>
    <n v="40642"/>
    <n v="26018"/>
    <n v="14624"/>
    <n v="0.64017518822892572"/>
    <n v="0.48631219836911299"/>
    <n v="13683"/>
    <n v="1716"/>
  </r>
  <r>
    <x v="0"/>
    <s v="QKK"/>
    <x v="31"/>
    <n v="80019"/>
    <n v="58070"/>
    <n v="21949"/>
    <n v="0.72570264562166487"/>
    <n v="0.52103365384615385"/>
    <n v="10487"/>
    <n v="2147"/>
  </r>
  <r>
    <x v="0"/>
    <s v="QOC"/>
    <x v="32"/>
    <n v="15908"/>
    <n v="9562"/>
    <n v="6346"/>
    <n v="0.60108121699773698"/>
    <n v="0.43198407431984076"/>
    <n v="5923"/>
    <n v="1601"/>
  </r>
  <r>
    <x v="0"/>
    <s v="QSL"/>
    <x v="33"/>
    <n v="21060"/>
    <n v="14171"/>
    <n v="6889"/>
    <n v="0.67288698955365622"/>
    <n v="0.44452887537993924"/>
    <n v="5092"/>
    <n v="330"/>
  </r>
  <r>
    <x v="0"/>
    <s v="QWE"/>
    <x v="34"/>
    <n v="60467"/>
    <n v="44126"/>
    <n v="16341"/>
    <n v="0.72975341922040116"/>
    <n v="0.62249957671189804"/>
    <n v="9471"/>
    <n v="3091"/>
  </r>
  <r>
    <x v="0"/>
    <s v="QF7"/>
    <x v="35"/>
    <n v="60565"/>
    <n v="41569"/>
    <n v="18996"/>
    <n v="0.68635350449929833"/>
    <n v="0.60652039752292997"/>
    <n v="20042"/>
    <n v="486"/>
  </r>
  <r>
    <x v="0"/>
    <s v="QNC"/>
    <x v="36"/>
    <n v="23804"/>
    <n v="15134"/>
    <n v="8670"/>
    <n v="0.63577549991598048"/>
    <n v="0.43473642278581864"/>
    <n v="6035"/>
    <n v="1264"/>
  </r>
  <r>
    <x v="0"/>
    <s v="QJG"/>
    <x v="37"/>
    <n v="33086"/>
    <n v="24068"/>
    <n v="9018"/>
    <n v="0.72743758689475913"/>
    <n v="0.5755679427850231"/>
    <n v="7508"/>
    <n v="1366"/>
  </r>
  <r>
    <x v="0"/>
    <s v="QXU"/>
    <x v="38"/>
    <n v="37227"/>
    <n v="25442"/>
    <n v="11785"/>
    <n v="0.68342869422730812"/>
    <n v="0.57603335750543871"/>
    <n v="11235"/>
    <n v="1343"/>
  </r>
  <r>
    <x v="0"/>
    <s v="QNX"/>
    <x v="39"/>
    <n v="64815"/>
    <n v="47802"/>
    <n v="17013"/>
    <n v="0.73751446424438782"/>
    <n v="0.58818561208267095"/>
    <n v="14792"/>
    <n v="1393"/>
  </r>
  <r>
    <x v="0"/>
    <s v="QUA"/>
    <x v="40"/>
    <n v="71462"/>
    <n v="52955"/>
    <n v="18507"/>
    <n v="0.7410232011418656"/>
    <n v="0.58226633271693073"/>
    <n v="21339"/>
    <n v="2209"/>
  </r>
  <r>
    <x v="0"/>
    <s v="QWO"/>
    <x v="41"/>
    <n v="92083"/>
    <n v="69666"/>
    <n v="22417"/>
    <n v="0.75655658482021659"/>
    <n v="0.67136461614989218"/>
    <n v="18674"/>
    <n v="2597"/>
  </r>
  <r>
    <x v="1"/>
    <s v="QOX"/>
    <x v="0"/>
    <n v="28648"/>
    <n v="19750"/>
    <n v="8898"/>
    <n v="0.68940240156380894"/>
    <n v="0.53309265944645001"/>
    <n v="10405"/>
    <n v="815"/>
  </r>
  <r>
    <x v="1"/>
    <s v="QHG"/>
    <x v="1"/>
    <n v="40466"/>
    <n v="30802"/>
    <n v="9664"/>
    <n v="0.76118222705481142"/>
    <n v="0.59430029774564019"/>
    <n v="9602"/>
    <n v="65"/>
  </r>
  <r>
    <x v="1"/>
    <s v="QHL"/>
    <x v="2"/>
    <n v="48876"/>
    <n v="34993"/>
    <n v="13883"/>
    <n v="0.71595466077420411"/>
    <n v="0.60544469783352339"/>
    <n v="17513"/>
    <n v="1924"/>
  </r>
  <r>
    <x v="1"/>
    <s v="QUY"/>
    <x v="3"/>
    <n v="32174"/>
    <n v="23628"/>
    <n v="8546"/>
    <n v="0.73438179896811084"/>
    <n v="0.63967683224574956"/>
    <n v="11180"/>
    <n v="870"/>
  </r>
  <r>
    <x v="1"/>
    <s v="QU9"/>
    <x v="4"/>
    <n v="50298"/>
    <n v="39783"/>
    <n v="10515"/>
    <n v="0.79094596206608614"/>
    <n v="0.68073977209041658"/>
    <n v="16555"/>
    <n v="373"/>
  </r>
  <r>
    <x v="1"/>
    <s v="QUE"/>
    <x v="5"/>
    <n v="34746"/>
    <n v="23653"/>
    <n v="11093"/>
    <n v="0.68074022909111842"/>
    <n v="0.56870579773844243"/>
    <n v="7845"/>
    <n v="1479"/>
  </r>
  <r>
    <x v="1"/>
    <s v="QYG"/>
    <x v="6"/>
    <n v="112174"/>
    <n v="80327"/>
    <n v="31847"/>
    <n v="0.71609285574197235"/>
    <n v="0.53670450530713809"/>
    <n v="27913"/>
    <n v="5148"/>
  </r>
  <r>
    <x v="1"/>
    <s v="QT6"/>
    <x v="7"/>
    <n v="16225"/>
    <n v="12093"/>
    <n v="4132"/>
    <n v="0.74533127889060091"/>
    <n v="0.41993909280333386"/>
    <n v="3673"/>
    <n v="529"/>
  </r>
  <r>
    <x v="1"/>
    <s v="QWU"/>
    <x v="8"/>
    <n v="35028"/>
    <n v="26344"/>
    <n v="8684"/>
    <n v="0.75208404704807585"/>
    <n v="0.66455122393472343"/>
    <n v="4733"/>
    <n v="370"/>
  </r>
  <r>
    <x v="1"/>
    <s v="QHM"/>
    <x v="9"/>
    <n v="133893"/>
    <n v="102806"/>
    <n v="31087"/>
    <n v="0.76782206687429511"/>
    <n v="0.55309668795484923"/>
    <n v="33964"/>
    <n v="535"/>
  </r>
  <r>
    <x v="1"/>
    <s v="QJK"/>
    <x v="10"/>
    <n v="42651"/>
    <n v="28708"/>
    <n v="13943"/>
    <n v="0.67309090056505128"/>
    <n v="0.48964953357862268"/>
    <n v="12426"/>
    <n v="963"/>
  </r>
  <r>
    <x v="1"/>
    <s v="QVV"/>
    <x v="11"/>
    <n v="24365"/>
    <n v="16534"/>
    <n v="7831"/>
    <n v="0.67859634721937201"/>
    <n v="0.55782812588281827"/>
    <n v="8347"/>
    <n v="545"/>
  </r>
  <r>
    <x v="1"/>
    <s v="QMF"/>
    <x v="12"/>
    <n v="85712"/>
    <n v="67236"/>
    <n v="18476"/>
    <n v="0.78444091842449137"/>
    <n v="0.63510136073312973"/>
    <n v="12450"/>
    <n v="1918"/>
  </r>
  <r>
    <x v="1"/>
    <s v="QNQ"/>
    <x v="13"/>
    <n v="31823"/>
    <n v="22926"/>
    <n v="8897"/>
    <n v="0.72042233604625583"/>
    <n v="0.58392366632933357"/>
    <n v="6145"/>
    <n v="713"/>
  </r>
  <r>
    <x v="1"/>
    <s v="QR1"/>
    <x v="14"/>
    <n v="19952"/>
    <n v="15254"/>
    <n v="4698"/>
    <n v="0.76453488372093026"/>
    <n v="0.62733171127331711"/>
    <n v="5292"/>
    <n v="510"/>
  </r>
  <r>
    <x v="1"/>
    <s v="QOP"/>
    <x v="15"/>
    <n v="115527"/>
    <n v="79419"/>
    <n v="36108"/>
    <n v="0.68744968708613574"/>
    <n v="0.56435457383193977"/>
    <n v="27108"/>
    <n v="3418"/>
  </r>
  <r>
    <x v="1"/>
    <s v="QRL"/>
    <x v="16"/>
    <n v="60141"/>
    <n v="46339"/>
    <n v="13802"/>
    <n v="0.77050597761926143"/>
    <n v="0.61559659923776022"/>
    <n v="16016"/>
    <n v="1226"/>
  </r>
  <r>
    <x v="1"/>
    <s v="QE1"/>
    <x v="17"/>
    <n v="68436"/>
    <n v="51134"/>
    <n v="17302"/>
    <n v="0.74717984686422356"/>
    <n v="0.57524956183799436"/>
    <n v="17127"/>
    <n v="2842"/>
  </r>
  <r>
    <x v="1"/>
    <s v="QGH"/>
    <x v="18"/>
    <n v="23500"/>
    <n v="15512"/>
    <n v="7988"/>
    <n v="0.66008510638297868"/>
    <n v="0.55393864479154964"/>
    <n v="5099"/>
    <n v="1293"/>
  </r>
  <r>
    <x v="1"/>
    <s v="QM7"/>
    <x v="19"/>
    <n v="44325"/>
    <n v="34846"/>
    <n v="9479"/>
    <n v="0.78614777213761988"/>
    <n v="0.62438544739429691"/>
    <n v="9312"/>
    <n v="524"/>
  </r>
  <r>
    <x v="1"/>
    <s v="QOQ"/>
    <x v="20"/>
    <n v="62246"/>
    <n v="44650"/>
    <n v="17596"/>
    <n v="0.71731516884619095"/>
    <n v="0.51724960491397565"/>
    <n v="18709"/>
    <n v="1702"/>
  </r>
  <r>
    <x v="1"/>
    <s v="QJ2"/>
    <x v="21"/>
    <n v="49463"/>
    <n v="36402"/>
    <n v="13061"/>
    <n v="0.73594403897863048"/>
    <n v="0.50687158840153301"/>
    <n v="7571"/>
    <n v="1250"/>
  </r>
  <r>
    <x v="1"/>
    <s v="QKS"/>
    <x v="22"/>
    <n v="87774"/>
    <n v="70661"/>
    <n v="17113"/>
    <n v="0.80503338118349399"/>
    <n v="0.68020875150541948"/>
    <n v="12329"/>
    <n v="2529"/>
  </r>
  <r>
    <x v="1"/>
    <s v="QK1"/>
    <x v="23"/>
    <n v="36518"/>
    <n v="28134"/>
    <n v="8384"/>
    <n v="0.77041459006517332"/>
    <n v="0.60138226418767649"/>
    <n v="10140"/>
    <n v="727"/>
  </r>
  <r>
    <x v="1"/>
    <s v="QJM"/>
    <x v="24"/>
    <n v="28502"/>
    <n v="21370"/>
    <n v="7132"/>
    <n v="0.74977194582836293"/>
    <n v="0.59387878787878789"/>
    <n v="5798"/>
    <n v="1296"/>
  </r>
  <r>
    <x v="1"/>
    <s v="QH8"/>
    <x v="25"/>
    <n v="31585"/>
    <n v="20753"/>
    <n v="10832"/>
    <n v="0.65705239829032769"/>
    <n v="0.56550532680679533"/>
    <n v="8976"/>
    <n v="1184"/>
  </r>
  <r>
    <x v="1"/>
    <s v="QMM"/>
    <x v="26"/>
    <n v="34800"/>
    <n v="26028"/>
    <n v="8772"/>
    <n v="0.74793103448275866"/>
    <n v="0.6405378812725484"/>
    <n v="7588"/>
    <n v="899"/>
  </r>
  <r>
    <x v="1"/>
    <s v="QMJ"/>
    <x v="27"/>
    <n v="65472"/>
    <n v="50948"/>
    <n v="14524"/>
    <n v="0.7781647116324536"/>
    <n v="0.6999402403665258"/>
    <n v="9785"/>
    <n v="2426"/>
  </r>
  <r>
    <x v="1"/>
    <s v="QRV"/>
    <x v="28"/>
    <n v="94502"/>
    <n v="75693"/>
    <n v="18809"/>
    <n v="0.80096717529787731"/>
    <n v="0.61961234378984953"/>
    <n v="15110"/>
    <n v="435"/>
  </r>
  <r>
    <x v="1"/>
    <s v="QPM"/>
    <x v="29"/>
    <n v="30335"/>
    <n v="22665"/>
    <n v="7670"/>
    <n v="0.74715674962914125"/>
    <n v="0.61363866653156351"/>
    <n v="4700"/>
    <n v="1360"/>
  </r>
  <r>
    <x v="1"/>
    <s v="QT1"/>
    <x v="30"/>
    <n v="37359"/>
    <n v="24985"/>
    <n v="12374"/>
    <n v="0.66878128429561823"/>
    <n v="0.51165008856792482"/>
    <n v="12113"/>
    <n v="1431"/>
  </r>
  <r>
    <x v="1"/>
    <s v="QKK"/>
    <x v="31"/>
    <n v="72477"/>
    <n v="53592"/>
    <n v="18885"/>
    <n v="0.73943457924582967"/>
    <n v="0.53681648715824359"/>
    <n v="9703"/>
    <n v="1603"/>
  </r>
  <r>
    <x v="1"/>
    <s v="QOC"/>
    <x v="32"/>
    <n v="15118"/>
    <n v="9198"/>
    <n v="5920"/>
    <n v="0.60841381135070771"/>
    <n v="0.43931451612903227"/>
    <n v="5480"/>
    <n v="1366"/>
  </r>
  <r>
    <x v="1"/>
    <s v="QSL"/>
    <x v="33"/>
    <n v="19074"/>
    <n v="13389"/>
    <n v="5685"/>
    <n v="0.70195029883611193"/>
    <n v="0.47987056248215476"/>
    <n v="4342"/>
    <n v="196"/>
  </r>
  <r>
    <x v="1"/>
    <s v="QWE"/>
    <x v="34"/>
    <n v="54509"/>
    <n v="39817"/>
    <n v="14692"/>
    <n v="0.7304665284631896"/>
    <n v="0.61825413889486136"/>
    <n v="8536"/>
    <n v="2327"/>
  </r>
  <r>
    <x v="1"/>
    <s v="QF7"/>
    <x v="35"/>
    <n v="55008"/>
    <n v="40520"/>
    <n v="14488"/>
    <n v="0.73662012798138454"/>
    <n v="0.66332561108221832"/>
    <n v="17874"/>
    <n v="261"/>
  </r>
  <r>
    <x v="1"/>
    <s v="QNC"/>
    <x v="36"/>
    <n v="22289"/>
    <n v="14433"/>
    <n v="7856"/>
    <n v="0.64753914486966668"/>
    <n v="0.44225938419579414"/>
    <n v="5406"/>
    <n v="927"/>
  </r>
  <r>
    <x v="1"/>
    <s v="QJG"/>
    <x v="37"/>
    <n v="30166"/>
    <n v="22248"/>
    <n v="7918"/>
    <n v="0.73751906119472255"/>
    <n v="0.60247055443837982"/>
    <n v="6698"/>
    <n v="1105"/>
  </r>
  <r>
    <x v="1"/>
    <s v="QXU"/>
    <x v="38"/>
    <n v="32152"/>
    <n v="22074"/>
    <n v="10078"/>
    <n v="0.68655138094053247"/>
    <n v="0.57109045528875113"/>
    <n v="10062"/>
    <n v="1053"/>
  </r>
  <r>
    <x v="1"/>
    <s v="QNX"/>
    <x v="39"/>
    <n v="58019"/>
    <n v="42871"/>
    <n v="15148"/>
    <n v="0.7389131146693324"/>
    <n v="0.58498468111420299"/>
    <n v="13032"/>
    <n v="1059"/>
  </r>
  <r>
    <x v="1"/>
    <s v="QUA"/>
    <x v="40"/>
    <n v="67256"/>
    <n v="51412"/>
    <n v="15844"/>
    <n v="0.76442250505531106"/>
    <n v="0.61399193650632655"/>
    <n v="19427"/>
    <n v="1468"/>
  </r>
  <r>
    <x v="1"/>
    <s v="QWO"/>
    <x v="41"/>
    <n v="83866"/>
    <n v="64154"/>
    <n v="19712"/>
    <n v="0.76495838599670907"/>
    <n v="0.68055371572393697"/>
    <n v="16931"/>
    <n v="1985"/>
  </r>
  <r>
    <x v="2"/>
    <s v="QOX"/>
    <x v="0"/>
    <n v="33596"/>
    <n v="23912"/>
    <n v="9684"/>
    <n v="0.71175139897606854"/>
    <n v="0.56222618073275243"/>
    <n v="11773"/>
    <n v="668"/>
  </r>
  <r>
    <x v="2"/>
    <s v="QHG"/>
    <x v="1"/>
    <n v="45015"/>
    <n v="36481"/>
    <n v="8534"/>
    <n v="0.81041874930578695"/>
    <n v="0.6852252386634845"/>
    <n v="10892"/>
    <n v="15"/>
  </r>
  <r>
    <x v="2"/>
    <s v="QHL"/>
    <x v="2"/>
    <n v="54983"/>
    <n v="40091"/>
    <n v="14892"/>
    <n v="0.72915264718185624"/>
    <n v="0.62603139464681024"/>
    <n v="19249"/>
    <n v="1513"/>
  </r>
  <r>
    <x v="2"/>
    <s v="QUY"/>
    <x v="3"/>
    <n v="38356"/>
    <n v="28064"/>
    <n v="10292"/>
    <n v="0.73167170716445928"/>
    <n v="0.63136749545178894"/>
    <n v="12316"/>
    <n v="1105"/>
  </r>
  <r>
    <x v="2"/>
    <s v="QU9"/>
    <x v="4"/>
    <n v="57619"/>
    <n v="46257"/>
    <n v="11362"/>
    <n v="0.80280810149429871"/>
    <n v="0.69819721387599021"/>
    <n v="18269"/>
    <n v="282"/>
  </r>
  <r>
    <x v="2"/>
    <s v="QUE"/>
    <x v="5"/>
    <n v="39592"/>
    <n v="28452"/>
    <n v="11140"/>
    <n v="0.71863002626793293"/>
    <n v="0.61560857832694216"/>
    <n v="9121"/>
    <n v="1349"/>
  </r>
  <r>
    <x v="2"/>
    <s v="QYG"/>
    <x v="6"/>
    <n v="129639"/>
    <n v="95657"/>
    <n v="33982"/>
    <n v="0.73787209096028206"/>
    <n v="0.57237026460815843"/>
    <n v="32198"/>
    <n v="5004"/>
  </r>
  <r>
    <x v="2"/>
    <s v="QT6"/>
    <x v="7"/>
    <n v="19564"/>
    <n v="15572"/>
    <n v="3992"/>
    <n v="0.79595174810877123"/>
    <n v="0.51124243297780336"/>
    <n v="3972"/>
    <n v="467"/>
  </r>
  <r>
    <x v="2"/>
    <s v="QWU"/>
    <x v="8"/>
    <n v="40705"/>
    <n v="32766"/>
    <n v="7939"/>
    <n v="0.80496253531507189"/>
    <n v="0.73938322396382306"/>
    <n v="5168"/>
    <n v="235"/>
  </r>
  <r>
    <x v="2"/>
    <s v="QHM"/>
    <x v="9"/>
    <n v="154741"/>
    <n v="124701"/>
    <n v="30040"/>
    <n v="0.80586916201911585"/>
    <n v="0.61946101894957706"/>
    <n v="38510"/>
    <n v="376"/>
  </r>
  <r>
    <x v="2"/>
    <s v="QJK"/>
    <x v="10"/>
    <n v="50177"/>
    <n v="34956"/>
    <n v="15221"/>
    <n v="0.69665384538732888"/>
    <n v="0.52246298532121749"/>
    <n v="14125"/>
    <n v="590"/>
  </r>
  <r>
    <x v="2"/>
    <s v="QVV"/>
    <x v="11"/>
    <n v="28887"/>
    <n v="20584"/>
    <n v="8303"/>
    <n v="0.71256966801675492"/>
    <n v="0.59837374764048201"/>
    <n v="9277"/>
    <n v="593"/>
  </r>
  <r>
    <x v="2"/>
    <s v="QMF"/>
    <x v="12"/>
    <n v="96074"/>
    <n v="76506"/>
    <n v="19568"/>
    <n v="0.79632366717322067"/>
    <n v="0.65183872914517105"/>
    <n v="14117"/>
    <n v="1837"/>
  </r>
  <r>
    <x v="2"/>
    <s v="QNQ"/>
    <x v="13"/>
    <n v="36352"/>
    <n v="28553"/>
    <n v="7799"/>
    <n v="0.78545884683098588"/>
    <n v="0.6817205207060707"/>
    <n v="7106"/>
    <n v="637"/>
  </r>
  <r>
    <x v="2"/>
    <s v="QR1"/>
    <x v="14"/>
    <n v="23404"/>
    <n v="18097"/>
    <n v="5307"/>
    <n v="0.7732438899333447"/>
    <n v="0.6457099045096536"/>
    <n v="6032"/>
    <n v="489"/>
  </r>
  <r>
    <x v="2"/>
    <s v="QOP"/>
    <x v="15"/>
    <n v="131744"/>
    <n v="97622"/>
    <n v="34122"/>
    <n v="0.74099769249453484"/>
    <n v="0.63428943218535305"/>
    <n v="30867"/>
    <n v="2485"/>
  </r>
  <r>
    <x v="2"/>
    <s v="QRL"/>
    <x v="16"/>
    <n v="70905"/>
    <n v="55519"/>
    <n v="15386"/>
    <n v="0.78300542980043719"/>
    <n v="0.63760803317180392"/>
    <n v="18134"/>
    <n v="1121"/>
  </r>
  <r>
    <x v="2"/>
    <s v="QE1"/>
    <x v="17"/>
    <n v="76557"/>
    <n v="60092"/>
    <n v="16465"/>
    <n v="0.78493148895594134"/>
    <n v="0.64928205597219679"/>
    <n v="18717"/>
    <n v="2260"/>
  </r>
  <r>
    <x v="2"/>
    <s v="QGH"/>
    <x v="18"/>
    <n v="27922"/>
    <n v="19373"/>
    <n v="8549"/>
    <n v="0.69382565718788047"/>
    <n v="0.58661934166383045"/>
    <n v="5715"/>
    <n v="1069"/>
  </r>
  <r>
    <x v="2"/>
    <s v="QM7"/>
    <x v="19"/>
    <n v="50841"/>
    <n v="42014"/>
    <n v="8827"/>
    <n v="0.82638028362935423"/>
    <n v="0.68455526609601791"/>
    <n v="10543"/>
    <n v="275"/>
  </r>
  <r>
    <x v="2"/>
    <s v="QOQ"/>
    <x v="20"/>
    <n v="70470"/>
    <n v="52515"/>
    <n v="17955"/>
    <n v="0.74521072796934862"/>
    <n v="0.56890048568771312"/>
    <n v="21158"/>
    <n v="1337"/>
  </r>
  <r>
    <x v="2"/>
    <s v="QJ2"/>
    <x v="21"/>
    <n v="56021"/>
    <n v="42650"/>
    <n v="13371"/>
    <n v="0.76132164723942808"/>
    <n v="0.56606147150822794"/>
    <n v="8536"/>
    <n v="537"/>
  </r>
  <r>
    <x v="2"/>
    <s v="QKS"/>
    <x v="22"/>
    <n v="103534"/>
    <n v="84485"/>
    <n v="19049"/>
    <n v="0.81601213128054551"/>
    <n v="0.70806219604082477"/>
    <n v="13914"/>
    <n v="2336"/>
  </r>
  <r>
    <x v="2"/>
    <s v="QK1"/>
    <x v="23"/>
    <n v="42372"/>
    <n v="33701"/>
    <n v="8671"/>
    <n v="0.79536014349098461"/>
    <n v="0.63812284216359061"/>
    <n v="11166"/>
    <n v="592"/>
  </r>
  <r>
    <x v="2"/>
    <s v="QJM"/>
    <x v="24"/>
    <n v="32777"/>
    <n v="26636"/>
    <n v="6141"/>
    <n v="0.81264301186807819"/>
    <n v="0.69251006711409391"/>
    <n v="6157"/>
    <n v="1132"/>
  </r>
  <r>
    <x v="2"/>
    <s v="QH8"/>
    <x v="25"/>
    <n v="36939"/>
    <n v="25137"/>
    <n v="11802"/>
    <n v="0.68050028425241615"/>
    <n v="0.59826812508764549"/>
    <n v="10303"/>
    <n v="793"/>
  </r>
  <r>
    <x v="2"/>
    <s v="QMM"/>
    <x v="26"/>
    <n v="39821"/>
    <n v="30533"/>
    <n v="9288"/>
    <n v="0.76675623414781147"/>
    <n v="0.67158736901727556"/>
    <n v="8266"/>
    <n v="796"/>
  </r>
  <r>
    <x v="2"/>
    <s v="QMJ"/>
    <x v="27"/>
    <n v="74735"/>
    <n v="60798"/>
    <n v="13937"/>
    <n v="0.81351441760888477"/>
    <n v="0.74477962781586682"/>
    <n v="11039"/>
    <n v="2074"/>
  </r>
  <r>
    <x v="2"/>
    <s v="QRV"/>
    <x v="28"/>
    <n v="108046"/>
    <n v="90198"/>
    <n v="17848"/>
    <n v="0.83481109897636196"/>
    <n v="0.68054029477512978"/>
    <n v="17663"/>
    <n v="467"/>
  </r>
  <r>
    <x v="2"/>
    <s v="QPM"/>
    <x v="29"/>
    <n v="34939"/>
    <n v="27301"/>
    <n v="7638"/>
    <n v="0.78139042330919606"/>
    <n v="0.66500989663514409"/>
    <n v="5439"/>
    <n v="1327"/>
  </r>
  <r>
    <x v="2"/>
    <s v="QT1"/>
    <x v="30"/>
    <n v="42973"/>
    <n v="30338"/>
    <n v="12635"/>
    <n v="0.70597817234077209"/>
    <n v="0.56537385045981603"/>
    <n v="13206"/>
    <n v="1477"/>
  </r>
  <r>
    <x v="2"/>
    <s v="QKK"/>
    <x v="31"/>
    <n v="83677"/>
    <n v="63136"/>
    <n v="20541"/>
    <n v="0.75452035804342887"/>
    <n v="0.56803062061423493"/>
    <n v="10852"/>
    <n v="1217"/>
  </r>
  <r>
    <x v="2"/>
    <s v="QOC"/>
    <x v="32"/>
    <n v="17286"/>
    <n v="10623"/>
    <n v="6663"/>
    <n v="0.61454356126345022"/>
    <n v="0.45124934474925738"/>
    <n v="6125"/>
    <n v="1173"/>
  </r>
  <r>
    <x v="2"/>
    <s v="QSL"/>
    <x v="33"/>
    <n v="22545"/>
    <n v="16418"/>
    <n v="6127"/>
    <n v="0.72823242404080724"/>
    <n v="0.52075596269703717"/>
    <n v="4300"/>
    <n v="73"/>
  </r>
  <r>
    <x v="2"/>
    <s v="QWE"/>
    <x v="34"/>
    <n v="62066"/>
    <n v="48296"/>
    <n v="13770"/>
    <n v="0.7781393999935553"/>
    <n v="0.68467111398034575"/>
    <n v="10109"/>
    <n v="2228"/>
  </r>
  <r>
    <x v="2"/>
    <s v="QF7"/>
    <x v="35"/>
    <n v="62869"/>
    <n v="48979"/>
    <n v="13890"/>
    <n v="0.77906440376019981"/>
    <n v="0.71607756093475161"/>
    <n v="19716"/>
    <n v="145"/>
  </r>
  <r>
    <x v="2"/>
    <s v="QNC"/>
    <x v="36"/>
    <n v="25668"/>
    <n v="17056"/>
    <n v="8612"/>
    <n v="0.66448496182016514"/>
    <n v="0.46817982318640666"/>
    <n v="6014"/>
    <n v="820"/>
  </r>
  <r>
    <x v="2"/>
    <s v="QJG"/>
    <x v="37"/>
    <n v="34423"/>
    <n v="26548"/>
    <n v="7875"/>
    <n v="0.77122853905818789"/>
    <n v="0.64520361305949436"/>
    <n v="7856"/>
    <n v="877"/>
  </r>
  <r>
    <x v="2"/>
    <s v="QXU"/>
    <x v="38"/>
    <n v="37006"/>
    <n v="26151"/>
    <n v="10855"/>
    <n v="0.7066691887801978"/>
    <n v="0.5938043067623725"/>
    <n v="10415"/>
    <n v="1050"/>
  </r>
  <r>
    <x v="2"/>
    <s v="QNX"/>
    <x v="39"/>
    <n v="67649"/>
    <n v="51913"/>
    <n v="15736"/>
    <n v="0.76738754453133085"/>
    <n v="0.63275247812704494"/>
    <n v="14767"/>
    <n v="1063"/>
  </r>
  <r>
    <x v="2"/>
    <s v="QUA"/>
    <x v="40"/>
    <n v="75568"/>
    <n v="61778"/>
    <n v="13790"/>
    <n v="0.81751535041287315"/>
    <n v="0.70141116100064149"/>
    <n v="21797"/>
    <n v="1362"/>
  </r>
  <r>
    <x v="2"/>
    <s v="QWO"/>
    <x v="41"/>
    <n v="94196"/>
    <n v="74984"/>
    <n v="19212"/>
    <n v="0.79604229478958766"/>
    <n v="0.72073928057980463"/>
    <n v="18993"/>
    <n v="14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CEEB75-CCD4-4B48-88B6-A7A48434173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9" firstHeaderRow="1" firstDataRow="4" firstDataCol="1"/>
  <pivotFields count="12">
    <pivotField axis="axisCol" numFmtId="17" showAll="0">
      <items count="4">
        <item x="0"/>
        <item x="1"/>
        <item x="2"/>
        <item t="default"/>
      </items>
    </pivotField>
    <pivotField showAll="0"/>
    <pivotField axis="axisRow" showAll="0">
      <items count="43">
        <item x="0"/>
        <item x="1"/>
        <item x="2"/>
        <item x="40"/>
        <item x="3"/>
        <item x="4"/>
        <item x="5"/>
        <item x="6"/>
        <item x="7"/>
        <item x="8"/>
        <item x="21"/>
        <item x="10"/>
        <item x="11"/>
        <item x="13"/>
        <item x="14"/>
        <item x="15"/>
        <item x="16"/>
        <item x="18"/>
        <item x="19"/>
        <item x="20"/>
        <item x="22"/>
        <item x="17"/>
        <item x="23"/>
        <item x="24"/>
        <item x="25"/>
        <item x="26"/>
        <item x="27"/>
        <item x="9"/>
        <item x="12"/>
        <item x="28"/>
        <item x="29"/>
        <item x="30"/>
        <item x="32"/>
        <item x="33"/>
        <item x="31"/>
        <item x="34"/>
        <item x="35"/>
        <item x="36"/>
        <item x="37"/>
        <item x="38"/>
        <item x="39"/>
        <item x="41"/>
        <item t="default"/>
      </items>
    </pivotField>
    <pivotField numFmtId="3" showAll="0"/>
    <pivotField numFmtId="3" showAll="0"/>
    <pivotField numFmtId="3" showAll="0"/>
    <pivotField numFmtId="164" showAll="0"/>
    <pivotField numFmtId="164" showAll="0"/>
    <pivotField numFmtId="3" showAll="0"/>
    <pivotField dataField="1" numFmtId="3"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3">
    <field x="11"/>
    <field x="10"/>
    <field x="0"/>
  </colFields>
  <colItems count="4">
    <i>
      <x v="1"/>
    </i>
    <i>
      <x v="2"/>
    </i>
    <i>
      <x v="3"/>
    </i>
    <i t="grand">
      <x/>
    </i>
  </colItems>
  <dataFields count="1">
    <dataField name="Sum of 12hr Breaches" fld="9" baseField="0" baseItem="0" numFmtId="3"/>
  </dataFields>
  <formats count="48">
    <format dxfId="83">
      <pivotArea type="all" dataOnly="0" outline="0" fieldPosition="0"/>
    </format>
    <format dxfId="82">
      <pivotArea outline="0" collapsedLevelsAreSubtotals="1" fieldPosition="0"/>
    </format>
    <format dxfId="81">
      <pivotArea type="origin" dataOnly="0" labelOnly="1" outline="0" fieldPosition="0"/>
    </format>
    <format dxfId="80">
      <pivotArea field="11" type="button" dataOnly="0" labelOnly="1" outline="0" axis="axisCol" fieldPosition="0"/>
    </format>
    <format dxfId="79">
      <pivotArea field="10" type="button" dataOnly="0" labelOnly="1" outline="0" axis="axisCol" fieldPosition="1"/>
    </format>
    <format dxfId="78">
      <pivotArea field="0" type="button" dataOnly="0" labelOnly="1" outline="0" axis="axisCol" fieldPosition="2"/>
    </format>
    <format dxfId="77">
      <pivotArea type="topRight" dataOnly="0" labelOnly="1" outline="0" fieldPosition="0"/>
    </format>
    <format dxfId="76">
      <pivotArea field="2" type="button" dataOnly="0" labelOnly="1" outline="0" axis="axisRow" fieldPosition="0"/>
    </format>
    <format dxfId="75">
      <pivotArea dataOnly="0" labelOnly="1" fieldPosition="0">
        <references count="1">
          <reference field="2" count="0"/>
        </references>
      </pivotArea>
    </format>
    <format dxfId="74">
      <pivotArea dataOnly="0" labelOnly="1" grandRow="1" outline="0" fieldPosition="0"/>
    </format>
    <format dxfId="73">
      <pivotArea dataOnly="0" labelOnly="1" fieldPosition="0">
        <references count="1">
          <reference field="11" count="3">
            <x v="1"/>
            <x v="2"/>
            <x v="3"/>
          </reference>
        </references>
      </pivotArea>
    </format>
    <format dxfId="72">
      <pivotArea dataOnly="0" labelOnly="1" grandCol="1" outline="0" fieldPosition="0"/>
    </format>
    <format dxfId="71">
      <pivotArea type="origin" dataOnly="0" labelOnly="1" outline="0" fieldPosition="0"/>
    </format>
    <format dxfId="70">
      <pivotArea field="11" type="button" dataOnly="0" labelOnly="1" outline="0" axis="axisCol" fieldPosition="0"/>
    </format>
    <format dxfId="69">
      <pivotArea field="10" type="button" dataOnly="0" labelOnly="1" outline="0" axis="axisCol" fieldPosition="1"/>
    </format>
    <format dxfId="68">
      <pivotArea field="0" type="button" dataOnly="0" labelOnly="1" outline="0" axis="axisCol" fieldPosition="2"/>
    </format>
    <format dxfId="67">
      <pivotArea type="topRight" dataOnly="0" labelOnly="1" outline="0" fieldPosition="0"/>
    </format>
    <format dxfId="66">
      <pivotArea field="2" type="button" dataOnly="0" labelOnly="1" outline="0" axis="axisRow" fieldPosition="0"/>
    </format>
    <format dxfId="65">
      <pivotArea dataOnly="0" labelOnly="1" fieldPosition="0">
        <references count="1">
          <reference field="11" count="3">
            <x v="1"/>
            <x v="2"/>
            <x v="3"/>
          </reference>
        </references>
      </pivotArea>
    </format>
    <format dxfId="64">
      <pivotArea dataOnly="0" labelOnly="1" grandCol="1" outline="0" fieldPosition="0"/>
    </format>
    <format dxfId="63">
      <pivotArea type="origin" dataOnly="0" labelOnly="1" outline="0" fieldPosition="0"/>
    </format>
    <format dxfId="62">
      <pivotArea field="11" type="button" dataOnly="0" labelOnly="1" outline="0" axis="axisCol" fieldPosition="0"/>
    </format>
    <format dxfId="61">
      <pivotArea field="10" type="button" dataOnly="0" labelOnly="1" outline="0" axis="axisCol" fieldPosition="1"/>
    </format>
    <format dxfId="60">
      <pivotArea field="0" type="button" dataOnly="0" labelOnly="1" outline="0" axis="axisCol" fieldPosition="2"/>
    </format>
    <format dxfId="59">
      <pivotArea type="topRight" dataOnly="0" labelOnly="1" outline="0" fieldPosition="0"/>
    </format>
    <format dxfId="58">
      <pivotArea field="2" type="button" dataOnly="0" labelOnly="1" outline="0" axis="axisRow" fieldPosition="0"/>
    </format>
    <format dxfId="57">
      <pivotArea dataOnly="0" labelOnly="1" fieldPosition="0">
        <references count="1">
          <reference field="11" count="3">
            <x v="1"/>
            <x v="2"/>
            <x v="3"/>
          </reference>
        </references>
      </pivotArea>
    </format>
    <format dxfId="56">
      <pivotArea dataOnly="0" labelOnly="1" grandCol="1" outline="0" fieldPosition="0"/>
    </format>
    <format dxfId="55">
      <pivotArea type="origin" dataOnly="0" labelOnly="1" outline="0" fieldPosition="0"/>
    </format>
    <format dxfId="54">
      <pivotArea field="11" type="button" dataOnly="0" labelOnly="1" outline="0" axis="axisCol" fieldPosition="0"/>
    </format>
    <format dxfId="53">
      <pivotArea field="10" type="button" dataOnly="0" labelOnly="1" outline="0" axis="axisCol" fieldPosition="1"/>
    </format>
    <format dxfId="52">
      <pivotArea field="0" type="button" dataOnly="0" labelOnly="1" outline="0" axis="axisCol" fieldPosition="2"/>
    </format>
    <format dxfId="51">
      <pivotArea type="topRight" dataOnly="0" labelOnly="1" outline="0" fieldPosition="0"/>
    </format>
    <format dxfId="50">
      <pivotArea field="2" type="button" dataOnly="0" labelOnly="1" outline="0" axis="axisRow" fieldPosition="0"/>
    </format>
    <format dxfId="49">
      <pivotArea dataOnly="0" labelOnly="1" fieldPosition="0">
        <references count="1">
          <reference field="11" count="3">
            <x v="1"/>
            <x v="2"/>
            <x v="3"/>
          </reference>
        </references>
      </pivotArea>
    </format>
    <format dxfId="48">
      <pivotArea dataOnly="0" labelOnly="1" grandCol="1" outline="0" fieldPosition="0"/>
    </format>
    <format dxfId="47">
      <pivotArea type="origin" dataOnly="0" labelOnly="1" outline="0" fieldPosition="0"/>
    </format>
    <format dxfId="45">
      <pivotArea field="11" type="button" dataOnly="0" labelOnly="1" outline="0" axis="axisCol" fieldPosition="0"/>
    </format>
    <format dxfId="43">
      <pivotArea field="10" type="button" dataOnly="0" labelOnly="1" outline="0" axis="axisCol" fieldPosition="1"/>
    </format>
    <format dxfId="41">
      <pivotArea field="0" type="button" dataOnly="0" labelOnly="1" outline="0" axis="axisCol" fieldPosition="2"/>
    </format>
    <format dxfId="39">
      <pivotArea type="topRight" dataOnly="0" labelOnly="1" outline="0" fieldPosition="0"/>
    </format>
    <format dxfId="37">
      <pivotArea field="2" type="button" dataOnly="0" labelOnly="1" outline="0" axis="axisRow" fieldPosition="0"/>
    </format>
    <format dxfId="35">
      <pivotArea dataOnly="0" labelOnly="1" fieldPosition="0">
        <references count="1">
          <reference field="11" count="3">
            <x v="1"/>
            <x v="2"/>
            <x v="3"/>
          </reference>
        </references>
      </pivotArea>
    </format>
    <format dxfId="33">
      <pivotArea dataOnly="0" labelOnly="1" grandCol="1" outline="0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77949-4904-4158-BC58-E571D80492CC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:M48" firstHeaderRow="1" firstDataRow="4" firstDataCol="1"/>
  <pivotFields count="12">
    <pivotField axis="axisCol" numFmtId="17" showAll="0">
      <items count="4">
        <item x="0"/>
        <item x="1"/>
        <item x="2"/>
        <item t="default"/>
      </items>
    </pivotField>
    <pivotField showAll="0"/>
    <pivotField axis="axisRow" showAll="0">
      <items count="43">
        <item x="0"/>
        <item x="1"/>
        <item x="2"/>
        <item x="40"/>
        <item x="3"/>
        <item x="4"/>
        <item x="5"/>
        <item x="6"/>
        <item x="7"/>
        <item x="8"/>
        <item x="21"/>
        <item x="10"/>
        <item x="11"/>
        <item x="13"/>
        <item x="14"/>
        <item x="15"/>
        <item x="16"/>
        <item x="18"/>
        <item x="19"/>
        <item x="20"/>
        <item x="22"/>
        <item x="17"/>
        <item x="23"/>
        <item x="24"/>
        <item x="25"/>
        <item x="26"/>
        <item x="27"/>
        <item x="9"/>
        <item x="12"/>
        <item x="28"/>
        <item x="29"/>
        <item x="30"/>
        <item x="32"/>
        <item x="33"/>
        <item x="31"/>
        <item x="34"/>
        <item x="35"/>
        <item x="36"/>
        <item x="37"/>
        <item x="38"/>
        <item x="39"/>
        <item x="41"/>
        <item t="default"/>
      </items>
    </pivotField>
    <pivotField numFmtId="3" showAll="0"/>
    <pivotField numFmtId="3" showAll="0"/>
    <pivotField numFmtId="3" showAll="0"/>
    <pivotField dataField="1" numFmtId="164" showAll="0"/>
    <pivotField numFmtId="164" showAll="0"/>
    <pivotField numFmtId="3" showAll="0"/>
    <pivotField numFmtId="3" showAll="0"/>
    <pivotField axis="axisCol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2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3">
    <field x="11"/>
    <field x="10"/>
    <field x="0"/>
  </colFields>
  <colItems count="4">
    <i>
      <x v="1"/>
    </i>
    <i>
      <x v="2"/>
    </i>
    <i>
      <x v="3"/>
    </i>
    <i t="grand">
      <x/>
    </i>
  </colItems>
  <dataFields count="1">
    <dataField name="Average of 4hr Rate (All)%" fld="6" subtotal="average" baseField="2" baseItem="0" numFmtId="164"/>
  </dataFields>
  <formats count="40">
    <format dxfId="95">
      <pivotArea type="all" dataOnly="0" outline="0" fieldPosition="0"/>
    </format>
    <format dxfId="94">
      <pivotArea outline="0" collapsedLevelsAreSubtotals="1" fieldPosition="0"/>
    </format>
    <format dxfId="93">
      <pivotArea type="origin" dataOnly="0" labelOnly="1" outline="0" fieldPosition="0"/>
    </format>
    <format dxfId="92">
      <pivotArea field="11" type="button" dataOnly="0" labelOnly="1" outline="0" axis="axisCol" fieldPosition="0"/>
    </format>
    <format dxfId="91">
      <pivotArea field="10" type="button" dataOnly="0" labelOnly="1" outline="0" axis="axisCol" fieldPosition="1"/>
    </format>
    <format dxfId="90">
      <pivotArea field="0" type="button" dataOnly="0" labelOnly="1" outline="0" axis="axisCol" fieldPosition="2"/>
    </format>
    <format dxfId="89">
      <pivotArea type="topRight" dataOnly="0" labelOnly="1" outline="0" fieldPosition="0"/>
    </format>
    <format dxfId="88">
      <pivotArea field="2" type="button" dataOnly="0" labelOnly="1" outline="0" axis="axisRow" fieldPosition="0"/>
    </format>
    <format dxfId="87">
      <pivotArea dataOnly="0" labelOnly="1" fieldPosition="0">
        <references count="1">
          <reference field="2" count="0"/>
        </references>
      </pivotArea>
    </format>
    <format dxfId="86">
      <pivotArea dataOnly="0" labelOnly="1" grandRow="1" outline="0" fieldPosition="0"/>
    </format>
    <format dxfId="85">
      <pivotArea dataOnly="0" labelOnly="1" fieldPosition="0">
        <references count="1">
          <reference field="11" count="3">
            <x v="1"/>
            <x v="2"/>
            <x v="3"/>
          </reference>
        </references>
      </pivotArea>
    </format>
    <format dxfId="84">
      <pivotArea dataOnly="0" labelOnly="1" grandCol="1" outline="0" fieldPosition="0"/>
    </format>
    <format dxfId="31">
      <pivotArea type="origin" dataOnly="0" labelOnly="1" outline="0" fieldPosition="0"/>
    </format>
    <format dxfId="30">
      <pivotArea field="11" type="button" dataOnly="0" labelOnly="1" outline="0" axis="axisCol" fieldPosition="0"/>
    </format>
    <format dxfId="29">
      <pivotArea field="10" type="button" dataOnly="0" labelOnly="1" outline="0" axis="axisCol" fieldPosition="1"/>
    </format>
    <format dxfId="28">
      <pivotArea field="0" type="button" dataOnly="0" labelOnly="1" outline="0" axis="axisCol" fieldPosition="2"/>
    </format>
    <format dxfId="27">
      <pivotArea type="topRight" dataOnly="0" labelOnly="1" outline="0" fieldPosition="0"/>
    </format>
    <format dxfId="26">
      <pivotArea field="2" type="button" dataOnly="0" labelOnly="1" outline="0" axis="axisRow" fieldPosition="0"/>
    </format>
    <format dxfId="25">
      <pivotArea dataOnly="0" labelOnly="1" fieldPosition="0">
        <references count="1">
          <reference field="11" count="3">
            <x v="1"/>
            <x v="2"/>
            <x v="3"/>
          </reference>
        </references>
      </pivotArea>
    </format>
    <format dxfId="24">
      <pivotArea dataOnly="0" labelOnly="1" grandCol="1" outline="0" fieldPosition="0"/>
    </format>
    <format dxfId="23">
      <pivotArea type="origin" dataOnly="0" labelOnly="1" outline="0" fieldPosition="0"/>
    </format>
    <format dxfId="22">
      <pivotArea field="11" type="button" dataOnly="0" labelOnly="1" outline="0" axis="axisCol" fieldPosition="0"/>
    </format>
    <format dxfId="21">
      <pivotArea field="10" type="button" dataOnly="0" labelOnly="1" outline="0" axis="axisCol" fieldPosition="1"/>
    </format>
    <format dxfId="20">
      <pivotArea field="0" type="button" dataOnly="0" labelOnly="1" outline="0" axis="axisCol" fieldPosition="2"/>
    </format>
    <format dxfId="19">
      <pivotArea type="topRight" dataOnly="0" labelOnly="1" outline="0" fieldPosition="0"/>
    </format>
    <format dxfId="18">
      <pivotArea field="2" type="button" dataOnly="0" labelOnly="1" outline="0" axis="axisRow" fieldPosition="0"/>
    </format>
    <format dxfId="17">
      <pivotArea dataOnly="0" labelOnly="1" fieldPosition="0">
        <references count="1">
          <reference field="11" count="3">
            <x v="1"/>
            <x v="2"/>
            <x v="3"/>
          </reference>
        </references>
      </pivotArea>
    </format>
    <format dxfId="16">
      <pivotArea dataOnly="0" labelOnly="1" grandCol="1" outline="0" fieldPosition="0"/>
    </format>
    <format dxfId="15">
      <pivotArea type="origin" dataOnly="0" labelOnly="1" outline="0" fieldPosition="0"/>
    </format>
    <format dxfId="14">
      <pivotArea field="11" type="button" dataOnly="0" labelOnly="1" outline="0" axis="axisCol" fieldPosition="0"/>
    </format>
    <format dxfId="13">
      <pivotArea field="10" type="button" dataOnly="0" labelOnly="1" outline="0" axis="axisCol" fieldPosition="1"/>
    </format>
    <format dxfId="12">
      <pivotArea field="0" type="button" dataOnly="0" labelOnly="1" outline="0" axis="axisCol" fieldPosition="2"/>
    </format>
    <format dxfId="11">
      <pivotArea type="topRight" dataOnly="0" labelOnly="1" outline="0" fieldPosition="0"/>
    </format>
    <format dxfId="10">
      <pivotArea field="2" type="button" dataOnly="0" labelOnly="1" outline="0" axis="axisRow" fieldPosition="0"/>
    </format>
    <format dxfId="9">
      <pivotArea dataOnly="0" labelOnly="1" fieldPosition="0">
        <references count="1">
          <reference field="11" count="3">
            <x v="1"/>
            <x v="2"/>
            <x v="3"/>
          </reference>
        </references>
      </pivotArea>
    </format>
    <format dxfId="8">
      <pivotArea dataOnly="0" labelOnly="1" grandCol="1" outline="0" fieldPosition="0"/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96C6A-DE66-47F4-8EE9-16547159B2ED}">
  <sheetPr>
    <tabColor theme="4" tint="-0.499984740745262"/>
  </sheetPr>
  <dimension ref="A1:E9"/>
  <sheetViews>
    <sheetView topLeftCell="A9" workbookViewId="0">
      <selection activeCell="B13" sqref="B13"/>
    </sheetView>
  </sheetViews>
  <sheetFormatPr defaultRowHeight="14.5" x14ac:dyDescent="0.35"/>
  <cols>
    <col min="1" max="1" width="33.7265625" customWidth="1"/>
    <col min="2" max="5" width="20.6328125" customWidth="1"/>
  </cols>
  <sheetData>
    <row r="1" spans="1:5" ht="23.5" x14ac:dyDescent="0.55000000000000004">
      <c r="A1" s="34" t="s">
        <v>0</v>
      </c>
      <c r="B1" s="34"/>
      <c r="C1" s="34"/>
      <c r="D1" s="34"/>
      <c r="E1" s="34"/>
    </row>
    <row r="2" spans="1:5" x14ac:dyDescent="0.35">
      <c r="A2" t="s">
        <v>1</v>
      </c>
    </row>
    <row r="3" spans="1:5" x14ac:dyDescent="0.35">
      <c r="A3" t="s">
        <v>2</v>
      </c>
    </row>
    <row r="5" spans="1:5" x14ac:dyDescent="0.35">
      <c r="A5" s="1" t="s">
        <v>3</v>
      </c>
      <c r="B5" t="s">
        <v>6</v>
      </c>
    </row>
    <row r="6" spans="1:5" x14ac:dyDescent="0.35">
      <c r="A6" s="1" t="s">
        <v>4</v>
      </c>
      <c r="B6" t="s">
        <v>5</v>
      </c>
    </row>
    <row r="7" spans="1:5" x14ac:dyDescent="0.35">
      <c r="A7" s="1" t="s">
        <v>7</v>
      </c>
      <c r="B7" t="s">
        <v>8</v>
      </c>
    </row>
    <row r="8" spans="1:5" x14ac:dyDescent="0.35">
      <c r="A8" s="1"/>
    </row>
    <row r="9" spans="1:5" x14ac:dyDescent="0.35">
      <c r="A9" s="1" t="s">
        <v>8</v>
      </c>
      <c r="B9" s="35" t="s">
        <v>9</v>
      </c>
      <c r="C9" s="35"/>
      <c r="D9" s="35"/>
      <c r="E9" s="35"/>
    </row>
  </sheetData>
  <mergeCells count="2">
    <mergeCell ref="B9:E9"/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59656-4E28-4706-88D4-E4E250E7C5FC}">
  <sheetPr>
    <tabColor rgb="FF002060"/>
  </sheetPr>
  <dimension ref="A1:J255"/>
  <sheetViews>
    <sheetView workbookViewId="0">
      <pane ySplit="1" topLeftCell="A2" activePane="bottomLeft" state="frozen"/>
      <selection pane="bottomLeft" activeCell="L118" sqref="L118"/>
    </sheetView>
  </sheetViews>
  <sheetFormatPr defaultRowHeight="14.5" x14ac:dyDescent="0.35"/>
  <cols>
    <col min="3" max="3" width="77.6328125" customWidth="1"/>
    <col min="4" max="4" width="20.81640625" customWidth="1"/>
    <col min="5" max="5" width="20.1796875" customWidth="1"/>
    <col min="6" max="6" width="16.36328125" customWidth="1"/>
    <col min="7" max="7" width="19.26953125" customWidth="1"/>
    <col min="8" max="8" width="14.36328125" customWidth="1"/>
    <col min="9" max="9" width="23.36328125" customWidth="1"/>
    <col min="10" max="10" width="21" customWidth="1"/>
  </cols>
  <sheetData>
    <row r="1" spans="1:10" x14ac:dyDescent="0.35">
      <c r="A1" s="50" t="s">
        <v>10</v>
      </c>
      <c r="B1" s="51" t="s">
        <v>11</v>
      </c>
      <c r="C1" s="51" t="s">
        <v>12</v>
      </c>
      <c r="D1" s="51" t="s">
        <v>13</v>
      </c>
      <c r="E1" s="51" t="s">
        <v>14</v>
      </c>
      <c r="F1" s="51" t="s">
        <v>15</v>
      </c>
      <c r="G1" s="51" t="s">
        <v>16</v>
      </c>
      <c r="H1" s="51" t="s">
        <v>17</v>
      </c>
      <c r="I1" s="51" t="s">
        <v>103</v>
      </c>
      <c r="J1" s="52" t="s">
        <v>18</v>
      </c>
    </row>
    <row r="2" spans="1:10" x14ac:dyDescent="0.35">
      <c r="A2" s="53">
        <v>46023</v>
      </c>
      <c r="B2" s="2" t="s">
        <v>19</v>
      </c>
      <c r="C2" s="2" t="s">
        <v>61</v>
      </c>
      <c r="D2" s="2">
        <v>31516</v>
      </c>
      <c r="E2" s="2">
        <v>21237</v>
      </c>
      <c r="F2" s="2">
        <v>10279</v>
      </c>
      <c r="G2" s="9">
        <v>0.67384820408681301</v>
      </c>
      <c r="H2" s="9">
        <v>0.50937329969827372</v>
      </c>
      <c r="I2" s="2">
        <v>11613</v>
      </c>
      <c r="J2" s="54">
        <v>962</v>
      </c>
    </row>
    <row r="3" spans="1:10" x14ac:dyDescent="0.35">
      <c r="A3" s="53">
        <v>46023</v>
      </c>
      <c r="B3" s="3" t="s">
        <v>20</v>
      </c>
      <c r="C3" s="3" t="s">
        <v>62</v>
      </c>
      <c r="D3" s="7">
        <v>44934</v>
      </c>
      <c r="E3" s="7">
        <v>33639</v>
      </c>
      <c r="F3" s="7">
        <v>11295</v>
      </c>
      <c r="G3" s="10">
        <v>0.74863132594471893</v>
      </c>
      <c r="H3" s="10">
        <v>0.57409603979338053</v>
      </c>
      <c r="I3" s="7">
        <v>10880</v>
      </c>
      <c r="J3" s="55">
        <v>92</v>
      </c>
    </row>
    <row r="4" spans="1:10" x14ac:dyDescent="0.35">
      <c r="A4" s="53">
        <v>46023</v>
      </c>
      <c r="B4" s="3" t="s">
        <v>21</v>
      </c>
      <c r="C4" s="3" t="s">
        <v>63</v>
      </c>
      <c r="D4" s="7">
        <v>52473</v>
      </c>
      <c r="E4" s="7">
        <v>36915</v>
      </c>
      <c r="F4" s="7">
        <v>15558</v>
      </c>
      <c r="G4" s="10">
        <v>0.70350465953919161</v>
      </c>
      <c r="H4" s="10">
        <v>0.5931061598951507</v>
      </c>
      <c r="I4" s="7">
        <v>19413</v>
      </c>
      <c r="J4" s="55">
        <v>2080</v>
      </c>
    </row>
    <row r="5" spans="1:10" x14ac:dyDescent="0.35">
      <c r="A5" s="53">
        <v>46023</v>
      </c>
      <c r="B5" s="3" t="s">
        <v>22</v>
      </c>
      <c r="C5" s="3" t="s">
        <v>64</v>
      </c>
      <c r="D5" s="7">
        <v>35662</v>
      </c>
      <c r="E5" s="7">
        <v>25689</v>
      </c>
      <c r="F5" s="7">
        <v>9973</v>
      </c>
      <c r="G5" s="10">
        <v>0.7203465874039594</v>
      </c>
      <c r="H5" s="10">
        <v>0.6158052284973059</v>
      </c>
      <c r="I5" s="7">
        <v>12874</v>
      </c>
      <c r="J5" s="55">
        <v>1357</v>
      </c>
    </row>
    <row r="6" spans="1:10" x14ac:dyDescent="0.35">
      <c r="A6" s="53">
        <v>46023</v>
      </c>
      <c r="B6" s="3" t="s">
        <v>23</v>
      </c>
      <c r="C6" s="3" t="s">
        <v>65</v>
      </c>
      <c r="D6" s="7">
        <v>56265</v>
      </c>
      <c r="E6" s="7">
        <v>43075</v>
      </c>
      <c r="F6" s="7">
        <v>13190</v>
      </c>
      <c r="G6" s="10">
        <v>0.76557362481116142</v>
      </c>
      <c r="H6" s="10">
        <v>0.64486110344065828</v>
      </c>
      <c r="I6" s="7">
        <v>18485</v>
      </c>
      <c r="J6" s="55">
        <v>503</v>
      </c>
    </row>
    <row r="7" spans="1:10" x14ac:dyDescent="0.35">
      <c r="A7" s="53">
        <v>46023</v>
      </c>
      <c r="B7" s="3" t="s">
        <v>24</v>
      </c>
      <c r="C7" s="3" t="s">
        <v>66</v>
      </c>
      <c r="D7" s="7">
        <v>37840</v>
      </c>
      <c r="E7" s="7">
        <v>25616</v>
      </c>
      <c r="F7" s="7">
        <v>12224</v>
      </c>
      <c r="G7" s="10">
        <v>0.67695560253699794</v>
      </c>
      <c r="H7" s="10">
        <v>0.56377430061640588</v>
      </c>
      <c r="I7" s="7">
        <v>8882</v>
      </c>
      <c r="J7" s="55">
        <v>1785</v>
      </c>
    </row>
    <row r="8" spans="1:10" x14ac:dyDescent="0.35">
      <c r="A8" s="53">
        <v>46023</v>
      </c>
      <c r="B8" s="3" t="s">
        <v>25</v>
      </c>
      <c r="C8" s="3" t="s">
        <v>67</v>
      </c>
      <c r="D8" s="7">
        <v>122282</v>
      </c>
      <c r="E8" s="7">
        <v>87403</v>
      </c>
      <c r="F8" s="7">
        <v>34879</v>
      </c>
      <c r="G8" s="10">
        <v>0.71476586905677042</v>
      </c>
      <c r="H8" s="10">
        <v>0.53767619365981389</v>
      </c>
      <c r="I8" s="7">
        <v>31370</v>
      </c>
      <c r="J8" s="55">
        <v>6011</v>
      </c>
    </row>
    <row r="9" spans="1:10" x14ac:dyDescent="0.35">
      <c r="A9" s="53">
        <v>46023</v>
      </c>
      <c r="B9" s="3" t="s">
        <v>26</v>
      </c>
      <c r="C9" s="3" t="s">
        <v>68</v>
      </c>
      <c r="D9" s="7">
        <v>17447</v>
      </c>
      <c r="E9" s="7">
        <v>13052</v>
      </c>
      <c r="F9" s="7">
        <v>4395</v>
      </c>
      <c r="G9" s="10">
        <v>0.74809422823408034</v>
      </c>
      <c r="H9" s="10">
        <v>0.45085344320188347</v>
      </c>
      <c r="I9" s="7">
        <v>4157</v>
      </c>
      <c r="J9" s="55">
        <v>773</v>
      </c>
    </row>
    <row r="10" spans="1:10" x14ac:dyDescent="0.35">
      <c r="A10" s="53">
        <v>46023</v>
      </c>
      <c r="B10" s="3" t="s">
        <v>27</v>
      </c>
      <c r="C10" s="3" t="s">
        <v>69</v>
      </c>
      <c r="D10" s="7">
        <v>38225</v>
      </c>
      <c r="E10" s="7">
        <v>27502</v>
      </c>
      <c r="F10" s="7">
        <v>10723</v>
      </c>
      <c r="G10" s="10">
        <v>0.71947678221059519</v>
      </c>
      <c r="H10" s="10">
        <v>0.62522812667740202</v>
      </c>
      <c r="I10" s="7">
        <v>5109</v>
      </c>
      <c r="J10" s="55">
        <v>811</v>
      </c>
    </row>
    <row r="11" spans="1:10" x14ac:dyDescent="0.35">
      <c r="A11" s="53">
        <v>46023</v>
      </c>
      <c r="B11" s="3" t="s">
        <v>28</v>
      </c>
      <c r="C11" s="3" t="s">
        <v>70</v>
      </c>
      <c r="D11" s="7">
        <v>144375</v>
      </c>
      <c r="E11" s="7">
        <v>108114</v>
      </c>
      <c r="F11" s="7">
        <v>36261</v>
      </c>
      <c r="G11" s="10">
        <v>0.74884155844155842</v>
      </c>
      <c r="H11" s="10">
        <v>0.53082123284931393</v>
      </c>
      <c r="I11" s="7">
        <v>36653</v>
      </c>
      <c r="J11" s="55">
        <v>809</v>
      </c>
    </row>
    <row r="12" spans="1:10" x14ac:dyDescent="0.35">
      <c r="A12" s="53">
        <v>46023</v>
      </c>
      <c r="B12" s="3" t="s">
        <v>29</v>
      </c>
      <c r="C12" s="3" t="s">
        <v>71</v>
      </c>
      <c r="D12" s="7">
        <v>47093</v>
      </c>
      <c r="E12" s="7">
        <v>31460</v>
      </c>
      <c r="F12" s="7">
        <v>15633</v>
      </c>
      <c r="G12" s="10">
        <v>0.66803983606905482</v>
      </c>
      <c r="H12" s="10">
        <v>0.48547939711927279</v>
      </c>
      <c r="I12" s="7">
        <v>13784</v>
      </c>
      <c r="J12" s="55">
        <v>1343</v>
      </c>
    </row>
    <row r="13" spans="1:10" x14ac:dyDescent="0.35">
      <c r="A13" s="53">
        <v>46023</v>
      </c>
      <c r="B13" s="3" t="s">
        <v>30</v>
      </c>
      <c r="C13" s="3" t="s">
        <v>72</v>
      </c>
      <c r="D13" s="7">
        <v>26942</v>
      </c>
      <c r="E13" s="7">
        <v>18247</v>
      </c>
      <c r="F13" s="7">
        <v>8695</v>
      </c>
      <c r="G13" s="10">
        <v>0.6772696904461436</v>
      </c>
      <c r="H13" s="10">
        <v>0.54986536868268432</v>
      </c>
      <c r="I13" s="7">
        <v>9440</v>
      </c>
      <c r="J13" s="55">
        <v>812</v>
      </c>
    </row>
    <row r="14" spans="1:10" x14ac:dyDescent="0.35">
      <c r="A14" s="53">
        <v>46023</v>
      </c>
      <c r="B14" s="3" t="s">
        <v>31</v>
      </c>
      <c r="C14" s="3" t="s">
        <v>73</v>
      </c>
      <c r="D14" s="7">
        <v>93390</v>
      </c>
      <c r="E14" s="7">
        <v>70559</v>
      </c>
      <c r="F14" s="7">
        <v>22831</v>
      </c>
      <c r="G14" s="10">
        <v>0.75553057072491703</v>
      </c>
      <c r="H14" s="10">
        <v>0.59187700242244279</v>
      </c>
      <c r="I14" s="7">
        <v>13618</v>
      </c>
      <c r="J14" s="55">
        <v>2749</v>
      </c>
    </row>
    <row r="15" spans="1:10" x14ac:dyDescent="0.35">
      <c r="A15" s="53">
        <v>46023</v>
      </c>
      <c r="B15" s="3" t="s">
        <v>32</v>
      </c>
      <c r="C15" s="3" t="s">
        <v>74</v>
      </c>
      <c r="D15" s="7">
        <v>35682</v>
      </c>
      <c r="E15" s="7">
        <v>24311</v>
      </c>
      <c r="F15" s="7">
        <v>11371</v>
      </c>
      <c r="G15" s="10">
        <v>0.68132391682080606</v>
      </c>
      <c r="H15" s="10">
        <v>0.52324384595591389</v>
      </c>
      <c r="I15" s="7">
        <v>6731</v>
      </c>
      <c r="J15" s="55">
        <v>743</v>
      </c>
    </row>
    <row r="16" spans="1:10" x14ac:dyDescent="0.35">
      <c r="A16" s="53">
        <v>46023</v>
      </c>
      <c r="B16" s="3" t="s">
        <v>33</v>
      </c>
      <c r="C16" s="3" t="s">
        <v>75</v>
      </c>
      <c r="D16" s="7">
        <v>22209</v>
      </c>
      <c r="E16" s="7">
        <v>16690</v>
      </c>
      <c r="F16" s="7">
        <v>5519</v>
      </c>
      <c r="G16" s="10">
        <v>0.75149714079877528</v>
      </c>
      <c r="H16" s="10">
        <v>0.60289047025163234</v>
      </c>
      <c r="I16" s="7">
        <v>6097</v>
      </c>
      <c r="J16" s="55">
        <v>543</v>
      </c>
    </row>
    <row r="17" spans="1:10" x14ac:dyDescent="0.35">
      <c r="A17" s="53">
        <v>46023</v>
      </c>
      <c r="B17" s="3" t="s">
        <v>34</v>
      </c>
      <c r="C17" s="3" t="s">
        <v>76</v>
      </c>
      <c r="D17" s="7">
        <v>128996</v>
      </c>
      <c r="E17" s="7">
        <v>88140</v>
      </c>
      <c r="F17" s="7">
        <v>40856</v>
      </c>
      <c r="G17" s="10">
        <v>0.6832770008372353</v>
      </c>
      <c r="H17" s="10">
        <v>0.56356740451581422</v>
      </c>
      <c r="I17" s="7">
        <v>29474</v>
      </c>
      <c r="J17" s="55">
        <v>4364</v>
      </c>
    </row>
    <row r="18" spans="1:10" x14ac:dyDescent="0.35">
      <c r="A18" s="53">
        <v>46023</v>
      </c>
      <c r="B18" s="3" t="s">
        <v>35</v>
      </c>
      <c r="C18" s="3" t="s">
        <v>77</v>
      </c>
      <c r="D18" s="7">
        <v>66637</v>
      </c>
      <c r="E18" s="7">
        <v>49058</v>
      </c>
      <c r="F18" s="7">
        <v>17579</v>
      </c>
      <c r="G18" s="10">
        <v>0.73619760793553135</v>
      </c>
      <c r="H18" s="10">
        <v>0.56652460286710582</v>
      </c>
      <c r="I18" s="7">
        <v>18170</v>
      </c>
      <c r="J18" s="55">
        <v>1771</v>
      </c>
    </row>
    <row r="19" spans="1:10" x14ac:dyDescent="0.35">
      <c r="A19" s="53">
        <v>46023</v>
      </c>
      <c r="B19" s="3" t="s">
        <v>36</v>
      </c>
      <c r="C19" s="3" t="s">
        <v>78</v>
      </c>
      <c r="D19" s="7">
        <v>75599</v>
      </c>
      <c r="E19" s="7">
        <v>56274</v>
      </c>
      <c r="F19" s="7">
        <v>19325</v>
      </c>
      <c r="G19" s="10">
        <v>0.74437492559425389</v>
      </c>
      <c r="H19" s="10">
        <v>0.58931529854980369</v>
      </c>
      <c r="I19" s="7">
        <v>19188</v>
      </c>
      <c r="J19" s="55">
        <v>3343</v>
      </c>
    </row>
    <row r="20" spans="1:10" x14ac:dyDescent="0.35">
      <c r="A20" s="53">
        <v>46023</v>
      </c>
      <c r="B20" s="3" t="s">
        <v>37</v>
      </c>
      <c r="C20" s="3" t="s">
        <v>79</v>
      </c>
      <c r="D20" s="7">
        <v>26062</v>
      </c>
      <c r="E20" s="7">
        <v>16536</v>
      </c>
      <c r="F20" s="7">
        <v>9526</v>
      </c>
      <c r="G20" s="10">
        <v>0.6344869925562121</v>
      </c>
      <c r="H20" s="10">
        <v>0.5237855777934225</v>
      </c>
      <c r="I20" s="7">
        <v>5777</v>
      </c>
      <c r="J20" s="55">
        <v>1706</v>
      </c>
    </row>
    <row r="21" spans="1:10" x14ac:dyDescent="0.35">
      <c r="A21" s="53">
        <v>46023</v>
      </c>
      <c r="B21" s="3" t="s">
        <v>38</v>
      </c>
      <c r="C21" s="3" t="s">
        <v>80</v>
      </c>
      <c r="D21" s="7">
        <v>50180</v>
      </c>
      <c r="E21" s="7">
        <v>39088</v>
      </c>
      <c r="F21" s="7">
        <v>11092</v>
      </c>
      <c r="G21" s="10">
        <v>0.77895575926664007</v>
      </c>
      <c r="H21" s="10">
        <v>0.60274072720628535</v>
      </c>
      <c r="I21" s="7">
        <v>10272</v>
      </c>
      <c r="J21" s="55">
        <v>670</v>
      </c>
    </row>
    <row r="22" spans="1:10" x14ac:dyDescent="0.35">
      <c r="A22" s="53">
        <v>46023</v>
      </c>
      <c r="B22" s="3" t="s">
        <v>39</v>
      </c>
      <c r="C22" s="3" t="s">
        <v>81</v>
      </c>
      <c r="D22" s="7">
        <v>65416</v>
      </c>
      <c r="E22" s="7">
        <v>45077</v>
      </c>
      <c r="F22" s="7">
        <v>20339</v>
      </c>
      <c r="G22" s="10">
        <v>0.68908218172924052</v>
      </c>
      <c r="H22" s="10">
        <v>0.46581977194730434</v>
      </c>
      <c r="I22" s="7">
        <v>20383</v>
      </c>
      <c r="J22" s="55">
        <v>2968</v>
      </c>
    </row>
    <row r="23" spans="1:10" x14ac:dyDescent="0.35">
      <c r="A23" s="53">
        <v>46023</v>
      </c>
      <c r="B23" s="3" t="s">
        <v>40</v>
      </c>
      <c r="C23" s="3" t="s">
        <v>82</v>
      </c>
      <c r="D23" s="7">
        <v>52022</v>
      </c>
      <c r="E23" s="7">
        <v>36776</v>
      </c>
      <c r="F23" s="7">
        <v>15246</v>
      </c>
      <c r="G23" s="10">
        <v>0.70693168274960594</v>
      </c>
      <c r="H23" s="10">
        <v>0.44733824127853206</v>
      </c>
      <c r="I23" s="7">
        <v>8327</v>
      </c>
      <c r="J23" s="55">
        <v>2172</v>
      </c>
    </row>
    <row r="24" spans="1:10" x14ac:dyDescent="0.35">
      <c r="A24" s="53">
        <v>46023</v>
      </c>
      <c r="B24" s="3" t="s">
        <v>41</v>
      </c>
      <c r="C24" s="3" t="s">
        <v>83</v>
      </c>
      <c r="D24" s="7">
        <v>96203</v>
      </c>
      <c r="E24" s="7">
        <v>76105</v>
      </c>
      <c r="F24" s="7">
        <v>20098</v>
      </c>
      <c r="G24" s="10">
        <v>0.79108759602091416</v>
      </c>
      <c r="H24" s="10">
        <v>0.65433500604373462</v>
      </c>
      <c r="I24" s="7">
        <v>13278</v>
      </c>
      <c r="J24" s="55">
        <v>3208</v>
      </c>
    </row>
    <row r="25" spans="1:10" x14ac:dyDescent="0.35">
      <c r="A25" s="53">
        <v>46023</v>
      </c>
      <c r="B25" s="3" t="s">
        <v>42</v>
      </c>
      <c r="C25" s="3" t="s">
        <v>84</v>
      </c>
      <c r="D25" s="7">
        <v>40133</v>
      </c>
      <c r="E25" s="7">
        <v>30664</v>
      </c>
      <c r="F25" s="7">
        <v>9469</v>
      </c>
      <c r="G25" s="10">
        <v>0.76405950215533347</v>
      </c>
      <c r="H25" s="10">
        <v>0.59216325811001413</v>
      </c>
      <c r="I25" s="7">
        <v>11272</v>
      </c>
      <c r="J25" s="55">
        <v>1017</v>
      </c>
    </row>
    <row r="26" spans="1:10" x14ac:dyDescent="0.35">
      <c r="A26" s="53">
        <v>46023</v>
      </c>
      <c r="B26" s="3" t="s">
        <v>43</v>
      </c>
      <c r="C26" s="3" t="s">
        <v>85</v>
      </c>
      <c r="D26" s="7">
        <v>29950</v>
      </c>
      <c r="E26" s="7">
        <v>21704</v>
      </c>
      <c r="F26" s="7">
        <v>8246</v>
      </c>
      <c r="G26" s="10">
        <v>0.72467445742904846</v>
      </c>
      <c r="H26" s="10">
        <v>0.54888137963178751</v>
      </c>
      <c r="I26" s="7">
        <v>6377</v>
      </c>
      <c r="J26" s="55">
        <v>1595</v>
      </c>
    </row>
    <row r="27" spans="1:10" x14ac:dyDescent="0.35">
      <c r="A27" s="53">
        <v>46023</v>
      </c>
      <c r="B27" s="3" t="s">
        <v>44</v>
      </c>
      <c r="C27" s="3" t="s">
        <v>86</v>
      </c>
      <c r="D27" s="7">
        <v>33730</v>
      </c>
      <c r="E27" s="7">
        <v>21839</v>
      </c>
      <c r="F27" s="7">
        <v>11891</v>
      </c>
      <c r="G27" s="10">
        <v>0.6474651645419508</v>
      </c>
      <c r="H27" s="10">
        <v>0.56546598056032016</v>
      </c>
      <c r="I27" s="7">
        <v>9604</v>
      </c>
      <c r="J27" s="55">
        <v>951</v>
      </c>
    </row>
    <row r="28" spans="1:10" x14ac:dyDescent="0.35">
      <c r="A28" s="53">
        <v>46023</v>
      </c>
      <c r="B28" s="3" t="s">
        <v>45</v>
      </c>
      <c r="C28" s="3" t="s">
        <v>87</v>
      </c>
      <c r="D28" s="7">
        <v>37232</v>
      </c>
      <c r="E28" s="7">
        <v>27446</v>
      </c>
      <c r="F28" s="7">
        <v>9786</v>
      </c>
      <c r="G28" s="10">
        <v>0.7371615814353244</v>
      </c>
      <c r="H28" s="10">
        <v>0.62831421408493504</v>
      </c>
      <c r="I28" s="7">
        <v>8344</v>
      </c>
      <c r="J28" s="55">
        <v>1201</v>
      </c>
    </row>
    <row r="29" spans="1:10" x14ac:dyDescent="0.35">
      <c r="A29" s="53">
        <v>46023</v>
      </c>
      <c r="B29" s="3" t="s">
        <v>46</v>
      </c>
      <c r="C29" s="3" t="s">
        <v>88</v>
      </c>
      <c r="D29" s="7">
        <v>72295</v>
      </c>
      <c r="E29" s="7">
        <v>54189</v>
      </c>
      <c r="F29" s="7">
        <v>18106</v>
      </c>
      <c r="G29" s="10">
        <v>0.74955391105885605</v>
      </c>
      <c r="H29" s="10">
        <v>0.66836714438842348</v>
      </c>
      <c r="I29" s="7">
        <v>10798</v>
      </c>
      <c r="J29" s="55">
        <v>3201</v>
      </c>
    </row>
    <row r="30" spans="1:10" x14ac:dyDescent="0.35">
      <c r="A30" s="53">
        <v>46023</v>
      </c>
      <c r="B30" s="3" t="s">
        <v>47</v>
      </c>
      <c r="C30" s="3" t="s">
        <v>89</v>
      </c>
      <c r="D30" s="7">
        <v>105631</v>
      </c>
      <c r="E30" s="7">
        <v>82208</v>
      </c>
      <c r="F30" s="7">
        <v>23423</v>
      </c>
      <c r="G30" s="10">
        <v>0.77825638306936407</v>
      </c>
      <c r="H30" s="10">
        <v>0.58139180462156859</v>
      </c>
      <c r="I30" s="7">
        <v>16186</v>
      </c>
      <c r="J30" s="55">
        <v>864</v>
      </c>
    </row>
    <row r="31" spans="1:10" x14ac:dyDescent="0.35">
      <c r="A31" s="53">
        <v>46023</v>
      </c>
      <c r="B31" s="3" t="s">
        <v>48</v>
      </c>
      <c r="C31" s="3" t="s">
        <v>90</v>
      </c>
      <c r="D31" s="7">
        <v>32707</v>
      </c>
      <c r="E31" s="7">
        <v>24088</v>
      </c>
      <c r="F31" s="7">
        <v>8619</v>
      </c>
      <c r="G31" s="10">
        <v>0.73647842969394928</v>
      </c>
      <c r="H31" s="10">
        <v>0.60177736202057996</v>
      </c>
      <c r="I31" s="7">
        <v>5299</v>
      </c>
      <c r="J31" s="55">
        <v>1570</v>
      </c>
    </row>
    <row r="32" spans="1:10" x14ac:dyDescent="0.35">
      <c r="A32" s="53">
        <v>46023</v>
      </c>
      <c r="B32" s="3" t="s">
        <v>49</v>
      </c>
      <c r="C32" s="3" t="s">
        <v>91</v>
      </c>
      <c r="D32" s="7">
        <v>40642</v>
      </c>
      <c r="E32" s="7">
        <v>26018</v>
      </c>
      <c r="F32" s="7">
        <v>14624</v>
      </c>
      <c r="G32" s="10">
        <v>0.64017518822892572</v>
      </c>
      <c r="H32" s="10">
        <v>0.48631219836911299</v>
      </c>
      <c r="I32" s="7">
        <v>13683</v>
      </c>
      <c r="J32" s="55">
        <v>1716</v>
      </c>
    </row>
    <row r="33" spans="1:10" x14ac:dyDescent="0.35">
      <c r="A33" s="53">
        <v>46023</v>
      </c>
      <c r="B33" s="3" t="s">
        <v>50</v>
      </c>
      <c r="C33" s="3" t="s">
        <v>92</v>
      </c>
      <c r="D33" s="7">
        <v>80019</v>
      </c>
      <c r="E33" s="7">
        <v>58070</v>
      </c>
      <c r="F33" s="7">
        <v>21949</v>
      </c>
      <c r="G33" s="10">
        <v>0.72570264562166487</v>
      </c>
      <c r="H33" s="10">
        <v>0.52103365384615385</v>
      </c>
      <c r="I33" s="7">
        <v>10487</v>
      </c>
      <c r="J33" s="55">
        <v>2147</v>
      </c>
    </row>
    <row r="34" spans="1:10" x14ac:dyDescent="0.35">
      <c r="A34" s="53">
        <v>46023</v>
      </c>
      <c r="B34" s="3" t="s">
        <v>51</v>
      </c>
      <c r="C34" s="3" t="s">
        <v>93</v>
      </c>
      <c r="D34" s="7">
        <v>15908</v>
      </c>
      <c r="E34" s="7">
        <v>9562</v>
      </c>
      <c r="F34" s="7">
        <v>6346</v>
      </c>
      <c r="G34" s="10">
        <v>0.60108121699773698</v>
      </c>
      <c r="H34" s="10">
        <v>0.43198407431984076</v>
      </c>
      <c r="I34" s="7">
        <v>5923</v>
      </c>
      <c r="J34" s="55">
        <v>1601</v>
      </c>
    </row>
    <row r="35" spans="1:10" x14ac:dyDescent="0.35">
      <c r="A35" s="53">
        <v>46023</v>
      </c>
      <c r="B35" s="3" t="s">
        <v>52</v>
      </c>
      <c r="C35" s="3" t="s">
        <v>94</v>
      </c>
      <c r="D35" s="7">
        <v>21060</v>
      </c>
      <c r="E35" s="7">
        <v>14171</v>
      </c>
      <c r="F35" s="7">
        <v>6889</v>
      </c>
      <c r="G35" s="10">
        <v>0.67288698955365622</v>
      </c>
      <c r="H35" s="10">
        <v>0.44452887537993924</v>
      </c>
      <c r="I35" s="7">
        <v>5092</v>
      </c>
      <c r="J35" s="55">
        <v>330</v>
      </c>
    </row>
    <row r="36" spans="1:10" x14ac:dyDescent="0.35">
      <c r="A36" s="53">
        <v>46023</v>
      </c>
      <c r="B36" s="3" t="s">
        <v>53</v>
      </c>
      <c r="C36" s="3" t="s">
        <v>95</v>
      </c>
      <c r="D36" s="7">
        <v>60467</v>
      </c>
      <c r="E36" s="7">
        <v>44126</v>
      </c>
      <c r="F36" s="7">
        <v>16341</v>
      </c>
      <c r="G36" s="10">
        <v>0.72975341922040116</v>
      </c>
      <c r="H36" s="10">
        <v>0.62249957671189804</v>
      </c>
      <c r="I36" s="7">
        <v>9471</v>
      </c>
      <c r="J36" s="55">
        <v>3091</v>
      </c>
    </row>
    <row r="37" spans="1:10" x14ac:dyDescent="0.35">
      <c r="A37" s="53">
        <v>46023</v>
      </c>
      <c r="B37" s="3" t="s">
        <v>54</v>
      </c>
      <c r="C37" s="3" t="s">
        <v>96</v>
      </c>
      <c r="D37" s="7">
        <v>60565</v>
      </c>
      <c r="E37" s="7">
        <v>41569</v>
      </c>
      <c r="F37" s="7">
        <v>18996</v>
      </c>
      <c r="G37" s="10">
        <v>0.68635350449929833</v>
      </c>
      <c r="H37" s="10">
        <v>0.60652039752292997</v>
      </c>
      <c r="I37" s="7">
        <v>20042</v>
      </c>
      <c r="J37" s="55">
        <v>486</v>
      </c>
    </row>
    <row r="38" spans="1:10" x14ac:dyDescent="0.35">
      <c r="A38" s="53">
        <v>46023</v>
      </c>
      <c r="B38" s="3" t="s">
        <v>55</v>
      </c>
      <c r="C38" s="3" t="s">
        <v>97</v>
      </c>
      <c r="D38" s="7">
        <v>23804</v>
      </c>
      <c r="E38" s="7">
        <v>15134</v>
      </c>
      <c r="F38" s="7">
        <v>8670</v>
      </c>
      <c r="G38" s="10">
        <v>0.63577549991598048</v>
      </c>
      <c r="H38" s="10">
        <v>0.43473642278581864</v>
      </c>
      <c r="I38" s="7">
        <v>6035</v>
      </c>
      <c r="J38" s="55">
        <v>1264</v>
      </c>
    </row>
    <row r="39" spans="1:10" x14ac:dyDescent="0.35">
      <c r="A39" s="53">
        <v>46023</v>
      </c>
      <c r="B39" s="3" t="s">
        <v>56</v>
      </c>
      <c r="C39" s="3" t="s">
        <v>98</v>
      </c>
      <c r="D39" s="7">
        <v>33086</v>
      </c>
      <c r="E39" s="7">
        <v>24068</v>
      </c>
      <c r="F39" s="7">
        <v>9018</v>
      </c>
      <c r="G39" s="10">
        <v>0.72743758689475913</v>
      </c>
      <c r="H39" s="10">
        <v>0.5755679427850231</v>
      </c>
      <c r="I39" s="7">
        <v>7508</v>
      </c>
      <c r="J39" s="55">
        <v>1366</v>
      </c>
    </row>
    <row r="40" spans="1:10" x14ac:dyDescent="0.35">
      <c r="A40" s="53">
        <v>46023</v>
      </c>
      <c r="B40" s="3" t="s">
        <v>57</v>
      </c>
      <c r="C40" s="3" t="s">
        <v>99</v>
      </c>
      <c r="D40" s="7">
        <v>37227</v>
      </c>
      <c r="E40" s="7">
        <v>25442</v>
      </c>
      <c r="F40" s="7">
        <v>11785</v>
      </c>
      <c r="G40" s="10">
        <v>0.68342869422730812</v>
      </c>
      <c r="H40" s="10">
        <v>0.57603335750543871</v>
      </c>
      <c r="I40" s="7">
        <v>11235</v>
      </c>
      <c r="J40" s="55">
        <v>1343</v>
      </c>
    </row>
    <row r="41" spans="1:10" x14ac:dyDescent="0.35">
      <c r="A41" s="53">
        <v>46023</v>
      </c>
      <c r="B41" s="3" t="s">
        <v>58</v>
      </c>
      <c r="C41" s="5" t="s">
        <v>100</v>
      </c>
      <c r="D41" s="7">
        <v>64815</v>
      </c>
      <c r="E41" s="7">
        <v>47802</v>
      </c>
      <c r="F41" s="7">
        <v>17013</v>
      </c>
      <c r="G41" s="10">
        <v>0.73751446424438782</v>
      </c>
      <c r="H41" s="10">
        <v>0.58818561208267095</v>
      </c>
      <c r="I41" s="7">
        <v>14792</v>
      </c>
      <c r="J41" s="55">
        <v>1393</v>
      </c>
    </row>
    <row r="42" spans="1:10" x14ac:dyDescent="0.35">
      <c r="A42" s="53">
        <v>46023</v>
      </c>
      <c r="B42" s="3" t="s">
        <v>59</v>
      </c>
      <c r="C42" s="3" t="s">
        <v>101</v>
      </c>
      <c r="D42" s="7">
        <v>71462</v>
      </c>
      <c r="E42" s="7">
        <v>52955</v>
      </c>
      <c r="F42" s="7">
        <v>18507</v>
      </c>
      <c r="G42" s="10">
        <v>0.7410232011418656</v>
      </c>
      <c r="H42" s="10">
        <v>0.58226633271693073</v>
      </c>
      <c r="I42" s="7">
        <v>21339</v>
      </c>
      <c r="J42" s="55">
        <v>2209</v>
      </c>
    </row>
    <row r="43" spans="1:10" x14ac:dyDescent="0.35">
      <c r="A43" s="53">
        <v>46023</v>
      </c>
      <c r="B43" s="4" t="s">
        <v>60</v>
      </c>
      <c r="C43" s="6" t="s">
        <v>102</v>
      </c>
      <c r="D43" s="8">
        <v>92083</v>
      </c>
      <c r="E43" s="8">
        <v>69666</v>
      </c>
      <c r="F43" s="8">
        <v>22417</v>
      </c>
      <c r="G43" s="11">
        <v>0.75655658482021659</v>
      </c>
      <c r="H43" s="11">
        <v>0.67136461614989218</v>
      </c>
      <c r="I43" s="8">
        <v>18674</v>
      </c>
      <c r="J43" s="56">
        <v>2597</v>
      </c>
    </row>
    <row r="44" spans="1:10" x14ac:dyDescent="0.35">
      <c r="A44" s="53">
        <v>46054</v>
      </c>
      <c r="B44" s="2" t="s">
        <v>19</v>
      </c>
      <c r="C44" s="2" t="s">
        <v>61</v>
      </c>
      <c r="D44" s="2">
        <v>28648</v>
      </c>
      <c r="E44" s="2">
        <v>19750</v>
      </c>
      <c r="F44" s="2">
        <v>8898</v>
      </c>
      <c r="G44" s="9">
        <v>0.68940240156380894</v>
      </c>
      <c r="H44" s="9">
        <v>0.53309265944645001</v>
      </c>
      <c r="I44" s="2">
        <v>10405</v>
      </c>
      <c r="J44" s="54">
        <v>815</v>
      </c>
    </row>
    <row r="45" spans="1:10" x14ac:dyDescent="0.35">
      <c r="A45" s="53">
        <v>46054</v>
      </c>
      <c r="B45" s="3" t="s">
        <v>20</v>
      </c>
      <c r="C45" s="3" t="s">
        <v>62</v>
      </c>
      <c r="D45" s="7">
        <v>40466</v>
      </c>
      <c r="E45" s="7">
        <v>30802</v>
      </c>
      <c r="F45" s="7">
        <v>9664</v>
      </c>
      <c r="G45" s="10">
        <v>0.76118222705481142</v>
      </c>
      <c r="H45" s="10">
        <v>0.59430029774564019</v>
      </c>
      <c r="I45" s="7">
        <v>9602</v>
      </c>
      <c r="J45" s="55">
        <v>65</v>
      </c>
    </row>
    <row r="46" spans="1:10" x14ac:dyDescent="0.35">
      <c r="A46" s="53">
        <v>46054</v>
      </c>
      <c r="B46" s="3" t="s">
        <v>21</v>
      </c>
      <c r="C46" s="3" t="s">
        <v>63</v>
      </c>
      <c r="D46" s="7">
        <v>48876</v>
      </c>
      <c r="E46" s="7">
        <v>34993</v>
      </c>
      <c r="F46" s="7">
        <v>13883</v>
      </c>
      <c r="G46" s="10">
        <v>0.71595466077420411</v>
      </c>
      <c r="H46" s="10">
        <v>0.60544469783352339</v>
      </c>
      <c r="I46" s="7">
        <v>17513</v>
      </c>
      <c r="J46" s="55">
        <v>1924</v>
      </c>
    </row>
    <row r="47" spans="1:10" x14ac:dyDescent="0.35">
      <c r="A47" s="53">
        <v>46054</v>
      </c>
      <c r="B47" s="3" t="s">
        <v>22</v>
      </c>
      <c r="C47" s="3" t="s">
        <v>64</v>
      </c>
      <c r="D47" s="7">
        <v>32174</v>
      </c>
      <c r="E47" s="7">
        <v>23628</v>
      </c>
      <c r="F47" s="7">
        <v>8546</v>
      </c>
      <c r="G47" s="10">
        <v>0.73438179896811084</v>
      </c>
      <c r="H47" s="10">
        <v>0.63967683224574956</v>
      </c>
      <c r="I47" s="7">
        <v>11180</v>
      </c>
      <c r="J47" s="55">
        <v>870</v>
      </c>
    </row>
    <row r="48" spans="1:10" x14ac:dyDescent="0.35">
      <c r="A48" s="53">
        <v>46054</v>
      </c>
      <c r="B48" s="3" t="s">
        <v>23</v>
      </c>
      <c r="C48" s="3" t="s">
        <v>65</v>
      </c>
      <c r="D48" s="7">
        <v>50298</v>
      </c>
      <c r="E48" s="7">
        <v>39783</v>
      </c>
      <c r="F48" s="7">
        <v>10515</v>
      </c>
      <c r="G48" s="10">
        <v>0.79094596206608614</v>
      </c>
      <c r="H48" s="10">
        <v>0.68073977209041658</v>
      </c>
      <c r="I48" s="7">
        <v>16555</v>
      </c>
      <c r="J48" s="55">
        <v>373</v>
      </c>
    </row>
    <row r="49" spans="1:10" x14ac:dyDescent="0.35">
      <c r="A49" s="53">
        <v>46054</v>
      </c>
      <c r="B49" s="3" t="s">
        <v>24</v>
      </c>
      <c r="C49" s="3" t="s">
        <v>66</v>
      </c>
      <c r="D49" s="7">
        <v>34746</v>
      </c>
      <c r="E49" s="7">
        <v>23653</v>
      </c>
      <c r="F49" s="7">
        <v>11093</v>
      </c>
      <c r="G49" s="10">
        <v>0.68074022909111842</v>
      </c>
      <c r="H49" s="10">
        <v>0.56870579773844243</v>
      </c>
      <c r="I49" s="7">
        <v>7845</v>
      </c>
      <c r="J49" s="55">
        <v>1479</v>
      </c>
    </row>
    <row r="50" spans="1:10" x14ac:dyDescent="0.35">
      <c r="A50" s="53">
        <v>46054</v>
      </c>
      <c r="B50" s="3" t="s">
        <v>25</v>
      </c>
      <c r="C50" s="3" t="s">
        <v>67</v>
      </c>
      <c r="D50" s="7">
        <v>112174</v>
      </c>
      <c r="E50" s="7">
        <v>80327</v>
      </c>
      <c r="F50" s="7">
        <v>31847</v>
      </c>
      <c r="G50" s="10">
        <v>0.71609285574197235</v>
      </c>
      <c r="H50" s="10">
        <v>0.53670450530713809</v>
      </c>
      <c r="I50" s="7">
        <v>27913</v>
      </c>
      <c r="J50" s="55">
        <v>5148</v>
      </c>
    </row>
    <row r="51" spans="1:10" x14ac:dyDescent="0.35">
      <c r="A51" s="53">
        <v>46054</v>
      </c>
      <c r="B51" s="3" t="s">
        <v>26</v>
      </c>
      <c r="C51" s="3" t="s">
        <v>68</v>
      </c>
      <c r="D51" s="7">
        <v>16225</v>
      </c>
      <c r="E51" s="7">
        <v>12093</v>
      </c>
      <c r="F51" s="7">
        <v>4132</v>
      </c>
      <c r="G51" s="10">
        <v>0.74533127889060091</v>
      </c>
      <c r="H51" s="10">
        <v>0.41993909280333386</v>
      </c>
      <c r="I51" s="7">
        <v>3673</v>
      </c>
      <c r="J51" s="55">
        <v>529</v>
      </c>
    </row>
    <row r="52" spans="1:10" x14ac:dyDescent="0.35">
      <c r="A52" s="53">
        <v>46054</v>
      </c>
      <c r="B52" s="3" t="s">
        <v>27</v>
      </c>
      <c r="C52" s="3" t="s">
        <v>69</v>
      </c>
      <c r="D52" s="7">
        <v>35028</v>
      </c>
      <c r="E52" s="7">
        <v>26344</v>
      </c>
      <c r="F52" s="7">
        <v>8684</v>
      </c>
      <c r="G52" s="10">
        <v>0.75208404704807585</v>
      </c>
      <c r="H52" s="10">
        <v>0.66455122393472343</v>
      </c>
      <c r="I52" s="7">
        <v>4733</v>
      </c>
      <c r="J52" s="55">
        <v>370</v>
      </c>
    </row>
    <row r="53" spans="1:10" x14ac:dyDescent="0.35">
      <c r="A53" s="53">
        <v>46054</v>
      </c>
      <c r="B53" s="3" t="s">
        <v>28</v>
      </c>
      <c r="C53" s="3" t="s">
        <v>70</v>
      </c>
      <c r="D53" s="7">
        <v>133893</v>
      </c>
      <c r="E53" s="7">
        <v>102806</v>
      </c>
      <c r="F53" s="7">
        <v>31087</v>
      </c>
      <c r="G53" s="10">
        <v>0.76782206687429511</v>
      </c>
      <c r="H53" s="10">
        <v>0.55309668795484923</v>
      </c>
      <c r="I53" s="7">
        <v>33964</v>
      </c>
      <c r="J53" s="55">
        <v>535</v>
      </c>
    </row>
    <row r="54" spans="1:10" x14ac:dyDescent="0.35">
      <c r="A54" s="53">
        <v>46054</v>
      </c>
      <c r="B54" s="3" t="s">
        <v>29</v>
      </c>
      <c r="C54" s="3" t="s">
        <v>71</v>
      </c>
      <c r="D54" s="7">
        <v>42651</v>
      </c>
      <c r="E54" s="7">
        <v>28708</v>
      </c>
      <c r="F54" s="7">
        <v>13943</v>
      </c>
      <c r="G54" s="10">
        <v>0.67309090056505128</v>
      </c>
      <c r="H54" s="10">
        <v>0.48964953357862268</v>
      </c>
      <c r="I54" s="7">
        <v>12426</v>
      </c>
      <c r="J54" s="55">
        <v>963</v>
      </c>
    </row>
    <row r="55" spans="1:10" x14ac:dyDescent="0.35">
      <c r="A55" s="53">
        <v>46054</v>
      </c>
      <c r="B55" s="3" t="s">
        <v>30</v>
      </c>
      <c r="C55" s="3" t="s">
        <v>72</v>
      </c>
      <c r="D55" s="7">
        <v>24365</v>
      </c>
      <c r="E55" s="7">
        <v>16534</v>
      </c>
      <c r="F55" s="7">
        <v>7831</v>
      </c>
      <c r="G55" s="10">
        <v>0.67859634721937201</v>
      </c>
      <c r="H55" s="10">
        <v>0.55782812588281827</v>
      </c>
      <c r="I55" s="7">
        <v>8347</v>
      </c>
      <c r="J55" s="55">
        <v>545</v>
      </c>
    </row>
    <row r="56" spans="1:10" x14ac:dyDescent="0.35">
      <c r="A56" s="53">
        <v>46054</v>
      </c>
      <c r="B56" s="3" t="s">
        <v>31</v>
      </c>
      <c r="C56" s="3" t="s">
        <v>73</v>
      </c>
      <c r="D56" s="7">
        <v>85712</v>
      </c>
      <c r="E56" s="7">
        <v>67236</v>
      </c>
      <c r="F56" s="7">
        <v>18476</v>
      </c>
      <c r="G56" s="10">
        <v>0.78444091842449137</v>
      </c>
      <c r="H56" s="10">
        <v>0.63510136073312973</v>
      </c>
      <c r="I56" s="7">
        <v>12450</v>
      </c>
      <c r="J56" s="55">
        <v>1918</v>
      </c>
    </row>
    <row r="57" spans="1:10" x14ac:dyDescent="0.35">
      <c r="A57" s="53">
        <v>46054</v>
      </c>
      <c r="B57" s="3" t="s">
        <v>32</v>
      </c>
      <c r="C57" s="3" t="s">
        <v>74</v>
      </c>
      <c r="D57" s="7">
        <v>31823</v>
      </c>
      <c r="E57" s="7">
        <v>22926</v>
      </c>
      <c r="F57" s="7">
        <v>8897</v>
      </c>
      <c r="G57" s="10">
        <v>0.72042233604625583</v>
      </c>
      <c r="H57" s="10">
        <v>0.58392366632933357</v>
      </c>
      <c r="I57" s="7">
        <v>6145</v>
      </c>
      <c r="J57" s="55">
        <v>713</v>
      </c>
    </row>
    <row r="58" spans="1:10" x14ac:dyDescent="0.35">
      <c r="A58" s="53">
        <v>46054</v>
      </c>
      <c r="B58" s="3" t="s">
        <v>33</v>
      </c>
      <c r="C58" s="3" t="s">
        <v>75</v>
      </c>
      <c r="D58" s="7">
        <v>19952</v>
      </c>
      <c r="E58" s="7">
        <v>15254</v>
      </c>
      <c r="F58" s="7">
        <v>4698</v>
      </c>
      <c r="G58" s="10">
        <v>0.76453488372093026</v>
      </c>
      <c r="H58" s="10">
        <v>0.62733171127331711</v>
      </c>
      <c r="I58" s="7">
        <v>5292</v>
      </c>
      <c r="J58" s="55">
        <v>510</v>
      </c>
    </row>
    <row r="59" spans="1:10" x14ac:dyDescent="0.35">
      <c r="A59" s="53">
        <v>46054</v>
      </c>
      <c r="B59" s="3" t="s">
        <v>34</v>
      </c>
      <c r="C59" s="3" t="s">
        <v>76</v>
      </c>
      <c r="D59" s="7">
        <v>115527</v>
      </c>
      <c r="E59" s="7">
        <v>79419</v>
      </c>
      <c r="F59" s="7">
        <v>36108</v>
      </c>
      <c r="G59" s="10">
        <v>0.68744968708613574</v>
      </c>
      <c r="H59" s="10">
        <v>0.56435457383193977</v>
      </c>
      <c r="I59" s="7">
        <v>27108</v>
      </c>
      <c r="J59" s="55">
        <v>3418</v>
      </c>
    </row>
    <row r="60" spans="1:10" x14ac:dyDescent="0.35">
      <c r="A60" s="53">
        <v>46054</v>
      </c>
      <c r="B60" s="3" t="s">
        <v>35</v>
      </c>
      <c r="C60" s="3" t="s">
        <v>77</v>
      </c>
      <c r="D60" s="7">
        <v>60141</v>
      </c>
      <c r="E60" s="7">
        <v>46339</v>
      </c>
      <c r="F60" s="7">
        <v>13802</v>
      </c>
      <c r="G60" s="10">
        <v>0.77050597761926143</v>
      </c>
      <c r="H60" s="10">
        <v>0.61559659923776022</v>
      </c>
      <c r="I60" s="7">
        <v>16016</v>
      </c>
      <c r="J60" s="55">
        <v>1226</v>
      </c>
    </row>
    <row r="61" spans="1:10" x14ac:dyDescent="0.35">
      <c r="A61" s="53">
        <v>46054</v>
      </c>
      <c r="B61" s="3" t="s">
        <v>36</v>
      </c>
      <c r="C61" s="3" t="s">
        <v>78</v>
      </c>
      <c r="D61" s="7">
        <v>68436</v>
      </c>
      <c r="E61" s="7">
        <v>51134</v>
      </c>
      <c r="F61" s="7">
        <v>17302</v>
      </c>
      <c r="G61" s="10">
        <v>0.74717984686422356</v>
      </c>
      <c r="H61" s="10">
        <v>0.57524956183799436</v>
      </c>
      <c r="I61" s="7">
        <v>17127</v>
      </c>
      <c r="J61" s="55">
        <v>2842</v>
      </c>
    </row>
    <row r="62" spans="1:10" x14ac:dyDescent="0.35">
      <c r="A62" s="53">
        <v>46054</v>
      </c>
      <c r="B62" s="3" t="s">
        <v>37</v>
      </c>
      <c r="C62" s="3" t="s">
        <v>79</v>
      </c>
      <c r="D62" s="7">
        <v>23500</v>
      </c>
      <c r="E62" s="7">
        <v>15512</v>
      </c>
      <c r="F62" s="7">
        <v>7988</v>
      </c>
      <c r="G62" s="10">
        <v>0.66008510638297868</v>
      </c>
      <c r="H62" s="10">
        <v>0.55393864479154964</v>
      </c>
      <c r="I62" s="7">
        <v>5099</v>
      </c>
      <c r="J62" s="55">
        <v>1293</v>
      </c>
    </row>
    <row r="63" spans="1:10" x14ac:dyDescent="0.35">
      <c r="A63" s="53">
        <v>46054</v>
      </c>
      <c r="B63" s="3" t="s">
        <v>38</v>
      </c>
      <c r="C63" s="3" t="s">
        <v>80</v>
      </c>
      <c r="D63" s="7">
        <v>44325</v>
      </c>
      <c r="E63" s="7">
        <v>34846</v>
      </c>
      <c r="F63" s="7">
        <v>9479</v>
      </c>
      <c r="G63" s="10">
        <v>0.78614777213761988</v>
      </c>
      <c r="H63" s="10">
        <v>0.62438544739429691</v>
      </c>
      <c r="I63" s="7">
        <v>9312</v>
      </c>
      <c r="J63" s="55">
        <v>524</v>
      </c>
    </row>
    <row r="64" spans="1:10" x14ac:dyDescent="0.35">
      <c r="A64" s="53">
        <v>46054</v>
      </c>
      <c r="B64" s="3" t="s">
        <v>39</v>
      </c>
      <c r="C64" s="3" t="s">
        <v>81</v>
      </c>
      <c r="D64" s="7">
        <v>62246</v>
      </c>
      <c r="E64" s="7">
        <v>44650</v>
      </c>
      <c r="F64" s="7">
        <v>17596</v>
      </c>
      <c r="G64" s="10">
        <v>0.71731516884619095</v>
      </c>
      <c r="H64" s="10">
        <v>0.51724960491397565</v>
      </c>
      <c r="I64" s="7">
        <v>18709</v>
      </c>
      <c r="J64" s="55">
        <v>1702</v>
      </c>
    </row>
    <row r="65" spans="1:10" x14ac:dyDescent="0.35">
      <c r="A65" s="53">
        <v>46054</v>
      </c>
      <c r="B65" s="3" t="s">
        <v>40</v>
      </c>
      <c r="C65" s="3" t="s">
        <v>82</v>
      </c>
      <c r="D65" s="7">
        <v>49463</v>
      </c>
      <c r="E65" s="7">
        <v>36402</v>
      </c>
      <c r="F65" s="7">
        <v>13061</v>
      </c>
      <c r="G65" s="10">
        <v>0.73594403897863048</v>
      </c>
      <c r="H65" s="10">
        <v>0.50687158840153301</v>
      </c>
      <c r="I65" s="7">
        <v>7571</v>
      </c>
      <c r="J65" s="55">
        <v>1250</v>
      </c>
    </row>
    <row r="66" spans="1:10" x14ac:dyDescent="0.35">
      <c r="A66" s="53">
        <v>46054</v>
      </c>
      <c r="B66" s="3" t="s">
        <v>41</v>
      </c>
      <c r="C66" s="3" t="s">
        <v>83</v>
      </c>
      <c r="D66" s="7">
        <v>87774</v>
      </c>
      <c r="E66" s="7">
        <v>70661</v>
      </c>
      <c r="F66" s="7">
        <v>17113</v>
      </c>
      <c r="G66" s="10">
        <v>0.80503338118349399</v>
      </c>
      <c r="H66" s="10">
        <v>0.68020875150541948</v>
      </c>
      <c r="I66" s="7">
        <v>12329</v>
      </c>
      <c r="J66" s="55">
        <v>2529</v>
      </c>
    </row>
    <row r="67" spans="1:10" x14ac:dyDescent="0.35">
      <c r="A67" s="53">
        <v>46054</v>
      </c>
      <c r="B67" s="3" t="s">
        <v>42</v>
      </c>
      <c r="C67" s="3" t="s">
        <v>84</v>
      </c>
      <c r="D67" s="7">
        <v>36518</v>
      </c>
      <c r="E67" s="7">
        <v>28134</v>
      </c>
      <c r="F67" s="7">
        <v>8384</v>
      </c>
      <c r="G67" s="10">
        <v>0.77041459006517332</v>
      </c>
      <c r="H67" s="10">
        <v>0.60138226418767649</v>
      </c>
      <c r="I67" s="7">
        <v>10140</v>
      </c>
      <c r="J67" s="55">
        <v>727</v>
      </c>
    </row>
    <row r="68" spans="1:10" x14ac:dyDescent="0.35">
      <c r="A68" s="53">
        <v>46054</v>
      </c>
      <c r="B68" s="3" t="s">
        <v>43</v>
      </c>
      <c r="C68" s="3" t="s">
        <v>85</v>
      </c>
      <c r="D68" s="7">
        <v>28502</v>
      </c>
      <c r="E68" s="7">
        <v>21370</v>
      </c>
      <c r="F68" s="7">
        <v>7132</v>
      </c>
      <c r="G68" s="10">
        <v>0.74977194582836293</v>
      </c>
      <c r="H68" s="10">
        <v>0.59387878787878789</v>
      </c>
      <c r="I68" s="7">
        <v>5798</v>
      </c>
      <c r="J68" s="55">
        <v>1296</v>
      </c>
    </row>
    <row r="69" spans="1:10" x14ac:dyDescent="0.35">
      <c r="A69" s="53">
        <v>46054</v>
      </c>
      <c r="B69" s="3" t="s">
        <v>44</v>
      </c>
      <c r="C69" s="3" t="s">
        <v>86</v>
      </c>
      <c r="D69" s="7">
        <v>31585</v>
      </c>
      <c r="E69" s="7">
        <v>20753</v>
      </c>
      <c r="F69" s="7">
        <v>10832</v>
      </c>
      <c r="G69" s="10">
        <v>0.65705239829032769</v>
      </c>
      <c r="H69" s="10">
        <v>0.56550532680679533</v>
      </c>
      <c r="I69" s="7">
        <v>8976</v>
      </c>
      <c r="J69" s="55">
        <v>1184</v>
      </c>
    </row>
    <row r="70" spans="1:10" x14ac:dyDescent="0.35">
      <c r="A70" s="53">
        <v>46054</v>
      </c>
      <c r="B70" s="3" t="s">
        <v>45</v>
      </c>
      <c r="C70" s="3" t="s">
        <v>87</v>
      </c>
      <c r="D70" s="7">
        <v>34800</v>
      </c>
      <c r="E70" s="7">
        <v>26028</v>
      </c>
      <c r="F70" s="7">
        <v>8772</v>
      </c>
      <c r="G70" s="10">
        <v>0.74793103448275866</v>
      </c>
      <c r="H70" s="10">
        <v>0.6405378812725484</v>
      </c>
      <c r="I70" s="7">
        <v>7588</v>
      </c>
      <c r="J70" s="55">
        <v>899</v>
      </c>
    </row>
    <row r="71" spans="1:10" x14ac:dyDescent="0.35">
      <c r="A71" s="53">
        <v>46054</v>
      </c>
      <c r="B71" s="3" t="s">
        <v>46</v>
      </c>
      <c r="C71" s="3" t="s">
        <v>88</v>
      </c>
      <c r="D71" s="7">
        <v>65472</v>
      </c>
      <c r="E71" s="7">
        <v>50948</v>
      </c>
      <c r="F71" s="7">
        <v>14524</v>
      </c>
      <c r="G71" s="10">
        <v>0.7781647116324536</v>
      </c>
      <c r="H71" s="10">
        <v>0.6999402403665258</v>
      </c>
      <c r="I71" s="7">
        <v>9785</v>
      </c>
      <c r="J71" s="55">
        <v>2426</v>
      </c>
    </row>
    <row r="72" spans="1:10" x14ac:dyDescent="0.35">
      <c r="A72" s="53">
        <v>46054</v>
      </c>
      <c r="B72" s="3" t="s">
        <v>47</v>
      </c>
      <c r="C72" s="3" t="s">
        <v>89</v>
      </c>
      <c r="D72" s="7">
        <v>94502</v>
      </c>
      <c r="E72" s="7">
        <v>75693</v>
      </c>
      <c r="F72" s="7">
        <v>18809</v>
      </c>
      <c r="G72" s="10">
        <v>0.80096717529787731</v>
      </c>
      <c r="H72" s="10">
        <v>0.61961234378984953</v>
      </c>
      <c r="I72" s="7">
        <v>15110</v>
      </c>
      <c r="J72" s="55">
        <v>435</v>
      </c>
    </row>
    <row r="73" spans="1:10" x14ac:dyDescent="0.35">
      <c r="A73" s="53">
        <v>46054</v>
      </c>
      <c r="B73" s="3" t="s">
        <v>48</v>
      </c>
      <c r="C73" s="3" t="s">
        <v>90</v>
      </c>
      <c r="D73" s="7">
        <v>30335</v>
      </c>
      <c r="E73" s="7">
        <v>22665</v>
      </c>
      <c r="F73" s="7">
        <v>7670</v>
      </c>
      <c r="G73" s="10">
        <v>0.74715674962914125</v>
      </c>
      <c r="H73" s="10">
        <v>0.61363866653156351</v>
      </c>
      <c r="I73" s="7">
        <v>4700</v>
      </c>
      <c r="J73" s="55">
        <v>1360</v>
      </c>
    </row>
    <row r="74" spans="1:10" x14ac:dyDescent="0.35">
      <c r="A74" s="53">
        <v>46054</v>
      </c>
      <c r="B74" s="3" t="s">
        <v>49</v>
      </c>
      <c r="C74" s="3" t="s">
        <v>91</v>
      </c>
      <c r="D74" s="7">
        <v>37359</v>
      </c>
      <c r="E74" s="7">
        <v>24985</v>
      </c>
      <c r="F74" s="7">
        <v>12374</v>
      </c>
      <c r="G74" s="10">
        <v>0.66878128429561823</v>
      </c>
      <c r="H74" s="10">
        <v>0.51165008856792482</v>
      </c>
      <c r="I74" s="7">
        <v>12113</v>
      </c>
      <c r="J74" s="55">
        <v>1431</v>
      </c>
    </row>
    <row r="75" spans="1:10" x14ac:dyDescent="0.35">
      <c r="A75" s="53">
        <v>46054</v>
      </c>
      <c r="B75" s="3" t="s">
        <v>50</v>
      </c>
      <c r="C75" s="3" t="s">
        <v>92</v>
      </c>
      <c r="D75" s="7">
        <v>72477</v>
      </c>
      <c r="E75" s="7">
        <v>53592</v>
      </c>
      <c r="F75" s="7">
        <v>18885</v>
      </c>
      <c r="G75" s="10">
        <v>0.73943457924582967</v>
      </c>
      <c r="H75" s="10">
        <v>0.53681648715824359</v>
      </c>
      <c r="I75" s="7">
        <v>9703</v>
      </c>
      <c r="J75" s="55">
        <v>1603</v>
      </c>
    </row>
    <row r="76" spans="1:10" x14ac:dyDescent="0.35">
      <c r="A76" s="53">
        <v>46054</v>
      </c>
      <c r="B76" s="3" t="s">
        <v>51</v>
      </c>
      <c r="C76" s="3" t="s">
        <v>93</v>
      </c>
      <c r="D76" s="7">
        <v>15118</v>
      </c>
      <c r="E76" s="7">
        <v>9198</v>
      </c>
      <c r="F76" s="7">
        <v>5920</v>
      </c>
      <c r="G76" s="10">
        <v>0.60841381135070771</v>
      </c>
      <c r="H76" s="10">
        <v>0.43931451612903227</v>
      </c>
      <c r="I76" s="7">
        <v>5480</v>
      </c>
      <c r="J76" s="55">
        <v>1366</v>
      </c>
    </row>
    <row r="77" spans="1:10" x14ac:dyDescent="0.35">
      <c r="A77" s="53">
        <v>46054</v>
      </c>
      <c r="B77" s="3" t="s">
        <v>52</v>
      </c>
      <c r="C77" s="3" t="s">
        <v>94</v>
      </c>
      <c r="D77" s="7">
        <v>19074</v>
      </c>
      <c r="E77" s="7">
        <v>13389</v>
      </c>
      <c r="F77" s="7">
        <v>5685</v>
      </c>
      <c r="G77" s="10">
        <v>0.70195029883611193</v>
      </c>
      <c r="H77" s="10">
        <v>0.47987056248215476</v>
      </c>
      <c r="I77" s="7">
        <v>4342</v>
      </c>
      <c r="J77" s="55">
        <v>196</v>
      </c>
    </row>
    <row r="78" spans="1:10" x14ac:dyDescent="0.35">
      <c r="A78" s="53">
        <v>46054</v>
      </c>
      <c r="B78" s="3" t="s">
        <v>53</v>
      </c>
      <c r="C78" s="3" t="s">
        <v>95</v>
      </c>
      <c r="D78" s="7">
        <v>54509</v>
      </c>
      <c r="E78" s="7">
        <v>39817</v>
      </c>
      <c r="F78" s="7">
        <v>14692</v>
      </c>
      <c r="G78" s="10">
        <v>0.7304665284631896</v>
      </c>
      <c r="H78" s="10">
        <v>0.61825413889486136</v>
      </c>
      <c r="I78" s="7">
        <v>8536</v>
      </c>
      <c r="J78" s="55">
        <v>2327</v>
      </c>
    </row>
    <row r="79" spans="1:10" x14ac:dyDescent="0.35">
      <c r="A79" s="53">
        <v>46054</v>
      </c>
      <c r="B79" s="3" t="s">
        <v>54</v>
      </c>
      <c r="C79" s="3" t="s">
        <v>96</v>
      </c>
      <c r="D79" s="7">
        <v>55008</v>
      </c>
      <c r="E79" s="7">
        <v>40520</v>
      </c>
      <c r="F79" s="7">
        <v>14488</v>
      </c>
      <c r="G79" s="10">
        <v>0.73662012798138454</v>
      </c>
      <c r="H79" s="10">
        <v>0.66332561108221832</v>
      </c>
      <c r="I79" s="7">
        <v>17874</v>
      </c>
      <c r="J79" s="55">
        <v>261</v>
      </c>
    </row>
    <row r="80" spans="1:10" x14ac:dyDescent="0.35">
      <c r="A80" s="53">
        <v>46054</v>
      </c>
      <c r="B80" s="3" t="s">
        <v>55</v>
      </c>
      <c r="C80" s="3" t="s">
        <v>97</v>
      </c>
      <c r="D80" s="7">
        <v>22289</v>
      </c>
      <c r="E80" s="7">
        <v>14433</v>
      </c>
      <c r="F80" s="7">
        <v>7856</v>
      </c>
      <c r="G80" s="10">
        <v>0.64753914486966668</v>
      </c>
      <c r="H80" s="10">
        <v>0.44225938419579414</v>
      </c>
      <c r="I80" s="7">
        <v>5406</v>
      </c>
      <c r="J80" s="55">
        <v>927</v>
      </c>
    </row>
    <row r="81" spans="1:10" x14ac:dyDescent="0.35">
      <c r="A81" s="53">
        <v>46054</v>
      </c>
      <c r="B81" s="3" t="s">
        <v>56</v>
      </c>
      <c r="C81" s="3" t="s">
        <v>98</v>
      </c>
      <c r="D81" s="7">
        <v>30166</v>
      </c>
      <c r="E81" s="7">
        <v>22248</v>
      </c>
      <c r="F81" s="7">
        <v>7918</v>
      </c>
      <c r="G81" s="10">
        <v>0.73751906119472255</v>
      </c>
      <c r="H81" s="10">
        <v>0.60247055443837982</v>
      </c>
      <c r="I81" s="7">
        <v>6698</v>
      </c>
      <c r="J81" s="55">
        <v>1105</v>
      </c>
    </row>
    <row r="82" spans="1:10" x14ac:dyDescent="0.35">
      <c r="A82" s="53">
        <v>46054</v>
      </c>
      <c r="B82" s="3" t="s">
        <v>57</v>
      </c>
      <c r="C82" s="3" t="s">
        <v>99</v>
      </c>
      <c r="D82" s="7">
        <v>32152</v>
      </c>
      <c r="E82" s="7">
        <v>22074</v>
      </c>
      <c r="F82" s="7">
        <v>10078</v>
      </c>
      <c r="G82" s="10">
        <v>0.68655138094053247</v>
      </c>
      <c r="H82" s="10">
        <v>0.57109045528875113</v>
      </c>
      <c r="I82" s="7">
        <v>10062</v>
      </c>
      <c r="J82" s="55">
        <v>1053</v>
      </c>
    </row>
    <row r="83" spans="1:10" x14ac:dyDescent="0.35">
      <c r="A83" s="53">
        <v>46054</v>
      </c>
      <c r="B83" s="3" t="s">
        <v>58</v>
      </c>
      <c r="C83" s="5" t="s">
        <v>100</v>
      </c>
      <c r="D83" s="7">
        <v>58019</v>
      </c>
      <c r="E83" s="7">
        <v>42871</v>
      </c>
      <c r="F83" s="7">
        <v>15148</v>
      </c>
      <c r="G83" s="10">
        <v>0.7389131146693324</v>
      </c>
      <c r="H83" s="10">
        <v>0.58498468111420299</v>
      </c>
      <c r="I83" s="7">
        <v>13032</v>
      </c>
      <c r="J83" s="55">
        <v>1059</v>
      </c>
    </row>
    <row r="84" spans="1:10" x14ac:dyDescent="0.35">
      <c r="A84" s="53">
        <v>46054</v>
      </c>
      <c r="B84" s="3" t="s">
        <v>59</v>
      </c>
      <c r="C84" s="3" t="s">
        <v>101</v>
      </c>
      <c r="D84" s="7">
        <v>67256</v>
      </c>
      <c r="E84" s="7">
        <v>51412</v>
      </c>
      <c r="F84" s="7">
        <v>15844</v>
      </c>
      <c r="G84" s="10">
        <v>0.76442250505531106</v>
      </c>
      <c r="H84" s="10">
        <v>0.61399193650632655</v>
      </c>
      <c r="I84" s="7">
        <v>19427</v>
      </c>
      <c r="J84" s="55">
        <v>1468</v>
      </c>
    </row>
    <row r="85" spans="1:10" x14ac:dyDescent="0.35">
      <c r="A85" s="53">
        <v>46054</v>
      </c>
      <c r="B85" s="4" t="s">
        <v>60</v>
      </c>
      <c r="C85" s="6" t="s">
        <v>102</v>
      </c>
      <c r="D85" s="8">
        <v>83866</v>
      </c>
      <c r="E85" s="8">
        <v>64154</v>
      </c>
      <c r="F85" s="8">
        <v>19712</v>
      </c>
      <c r="G85" s="11">
        <v>0.76495838599670907</v>
      </c>
      <c r="H85" s="11">
        <v>0.68055371572393697</v>
      </c>
      <c r="I85" s="8">
        <v>16931</v>
      </c>
      <c r="J85" s="56">
        <v>1985</v>
      </c>
    </row>
    <row r="86" spans="1:10" x14ac:dyDescent="0.35">
      <c r="A86" s="53">
        <v>46082</v>
      </c>
      <c r="B86" s="2" t="s">
        <v>19</v>
      </c>
      <c r="C86" s="2" t="s">
        <v>61</v>
      </c>
      <c r="D86" s="2">
        <v>33596</v>
      </c>
      <c r="E86" s="2">
        <v>23912</v>
      </c>
      <c r="F86" s="2">
        <v>9684</v>
      </c>
      <c r="G86" s="9">
        <v>0.71175139897606854</v>
      </c>
      <c r="H86" s="9">
        <v>0.56222618073275243</v>
      </c>
      <c r="I86" s="2">
        <v>11773</v>
      </c>
      <c r="J86" s="54">
        <v>668</v>
      </c>
    </row>
    <row r="87" spans="1:10" x14ac:dyDescent="0.35">
      <c r="A87" s="53">
        <v>46082</v>
      </c>
      <c r="B87" s="3" t="s">
        <v>20</v>
      </c>
      <c r="C87" s="3" t="s">
        <v>62</v>
      </c>
      <c r="D87" s="7">
        <v>45015</v>
      </c>
      <c r="E87" s="7">
        <v>36481</v>
      </c>
      <c r="F87" s="7">
        <v>8534</v>
      </c>
      <c r="G87" s="10">
        <v>0.81041874930578695</v>
      </c>
      <c r="H87" s="10">
        <v>0.6852252386634845</v>
      </c>
      <c r="I87" s="7">
        <v>10892</v>
      </c>
      <c r="J87" s="55">
        <v>15</v>
      </c>
    </row>
    <row r="88" spans="1:10" x14ac:dyDescent="0.35">
      <c r="A88" s="53">
        <v>46082</v>
      </c>
      <c r="B88" s="3" t="s">
        <v>21</v>
      </c>
      <c r="C88" s="3" t="s">
        <v>63</v>
      </c>
      <c r="D88" s="7">
        <v>54983</v>
      </c>
      <c r="E88" s="7">
        <v>40091</v>
      </c>
      <c r="F88" s="7">
        <v>14892</v>
      </c>
      <c r="G88" s="10">
        <v>0.72915264718185624</v>
      </c>
      <c r="H88" s="10">
        <v>0.62603139464681024</v>
      </c>
      <c r="I88" s="7">
        <v>19249</v>
      </c>
      <c r="J88" s="55">
        <v>1513</v>
      </c>
    </row>
    <row r="89" spans="1:10" x14ac:dyDescent="0.35">
      <c r="A89" s="53">
        <v>46082</v>
      </c>
      <c r="B89" s="3" t="s">
        <v>22</v>
      </c>
      <c r="C89" s="3" t="s">
        <v>64</v>
      </c>
      <c r="D89" s="7">
        <v>38356</v>
      </c>
      <c r="E89" s="7">
        <v>28064</v>
      </c>
      <c r="F89" s="7">
        <v>10292</v>
      </c>
      <c r="G89" s="10">
        <v>0.73167170716445928</v>
      </c>
      <c r="H89" s="10">
        <v>0.63136749545178894</v>
      </c>
      <c r="I89" s="7">
        <v>12316</v>
      </c>
      <c r="J89" s="55">
        <v>1105</v>
      </c>
    </row>
    <row r="90" spans="1:10" x14ac:dyDescent="0.35">
      <c r="A90" s="53">
        <v>46082</v>
      </c>
      <c r="B90" s="3" t="s">
        <v>23</v>
      </c>
      <c r="C90" s="3" t="s">
        <v>65</v>
      </c>
      <c r="D90" s="7">
        <v>57619</v>
      </c>
      <c r="E90" s="7">
        <v>46257</v>
      </c>
      <c r="F90" s="7">
        <v>11362</v>
      </c>
      <c r="G90" s="10">
        <v>0.80280810149429871</v>
      </c>
      <c r="H90" s="10">
        <v>0.69819721387599021</v>
      </c>
      <c r="I90" s="7">
        <v>18269</v>
      </c>
      <c r="J90" s="55">
        <v>282</v>
      </c>
    </row>
    <row r="91" spans="1:10" x14ac:dyDescent="0.35">
      <c r="A91" s="53">
        <v>46082</v>
      </c>
      <c r="B91" s="3" t="s">
        <v>24</v>
      </c>
      <c r="C91" s="3" t="s">
        <v>66</v>
      </c>
      <c r="D91" s="7">
        <v>39592</v>
      </c>
      <c r="E91" s="7">
        <v>28452</v>
      </c>
      <c r="F91" s="7">
        <v>11140</v>
      </c>
      <c r="G91" s="10">
        <v>0.71863002626793293</v>
      </c>
      <c r="H91" s="10">
        <v>0.61560857832694216</v>
      </c>
      <c r="I91" s="7">
        <v>9121</v>
      </c>
      <c r="J91" s="55">
        <v>1349</v>
      </c>
    </row>
    <row r="92" spans="1:10" x14ac:dyDescent="0.35">
      <c r="A92" s="53">
        <v>46082</v>
      </c>
      <c r="B92" s="3" t="s">
        <v>25</v>
      </c>
      <c r="C92" s="3" t="s">
        <v>67</v>
      </c>
      <c r="D92" s="7">
        <v>129639</v>
      </c>
      <c r="E92" s="7">
        <v>95657</v>
      </c>
      <c r="F92" s="7">
        <v>33982</v>
      </c>
      <c r="G92" s="10">
        <v>0.73787209096028206</v>
      </c>
      <c r="H92" s="10">
        <v>0.57237026460815843</v>
      </c>
      <c r="I92" s="7">
        <v>32198</v>
      </c>
      <c r="J92" s="55">
        <v>5004</v>
      </c>
    </row>
    <row r="93" spans="1:10" x14ac:dyDescent="0.35">
      <c r="A93" s="53">
        <v>46082</v>
      </c>
      <c r="B93" s="3" t="s">
        <v>26</v>
      </c>
      <c r="C93" s="3" t="s">
        <v>68</v>
      </c>
      <c r="D93" s="7">
        <v>19564</v>
      </c>
      <c r="E93" s="7">
        <v>15572</v>
      </c>
      <c r="F93" s="7">
        <v>3992</v>
      </c>
      <c r="G93" s="10">
        <v>0.79595174810877123</v>
      </c>
      <c r="H93" s="10">
        <v>0.51124243297780336</v>
      </c>
      <c r="I93" s="7">
        <v>3972</v>
      </c>
      <c r="J93" s="55">
        <v>467</v>
      </c>
    </row>
    <row r="94" spans="1:10" x14ac:dyDescent="0.35">
      <c r="A94" s="53">
        <v>46082</v>
      </c>
      <c r="B94" s="3" t="s">
        <v>27</v>
      </c>
      <c r="C94" s="3" t="s">
        <v>69</v>
      </c>
      <c r="D94" s="7">
        <v>40705</v>
      </c>
      <c r="E94" s="7">
        <v>32766</v>
      </c>
      <c r="F94" s="7">
        <v>7939</v>
      </c>
      <c r="G94" s="10">
        <v>0.80496253531507189</v>
      </c>
      <c r="H94" s="10">
        <v>0.73938322396382306</v>
      </c>
      <c r="I94" s="7">
        <v>5168</v>
      </c>
      <c r="J94" s="55">
        <v>235</v>
      </c>
    </row>
    <row r="95" spans="1:10" x14ac:dyDescent="0.35">
      <c r="A95" s="53">
        <v>46082</v>
      </c>
      <c r="B95" s="3" t="s">
        <v>28</v>
      </c>
      <c r="C95" s="3" t="s">
        <v>70</v>
      </c>
      <c r="D95" s="7">
        <v>154741</v>
      </c>
      <c r="E95" s="7">
        <v>124701</v>
      </c>
      <c r="F95" s="7">
        <v>30040</v>
      </c>
      <c r="G95" s="10">
        <v>0.80586916201911585</v>
      </c>
      <c r="H95" s="10">
        <v>0.61946101894957706</v>
      </c>
      <c r="I95" s="7">
        <v>38510</v>
      </c>
      <c r="J95" s="55">
        <v>376</v>
      </c>
    </row>
    <row r="96" spans="1:10" x14ac:dyDescent="0.35">
      <c r="A96" s="53">
        <v>46082</v>
      </c>
      <c r="B96" s="3" t="s">
        <v>29</v>
      </c>
      <c r="C96" s="3" t="s">
        <v>71</v>
      </c>
      <c r="D96" s="7">
        <v>50177</v>
      </c>
      <c r="E96" s="7">
        <v>34956</v>
      </c>
      <c r="F96" s="7">
        <v>15221</v>
      </c>
      <c r="G96" s="10">
        <v>0.69665384538732888</v>
      </c>
      <c r="H96" s="10">
        <v>0.52246298532121749</v>
      </c>
      <c r="I96" s="7">
        <v>14125</v>
      </c>
      <c r="J96" s="55">
        <v>590</v>
      </c>
    </row>
    <row r="97" spans="1:10" x14ac:dyDescent="0.35">
      <c r="A97" s="53">
        <v>46082</v>
      </c>
      <c r="B97" s="3" t="s">
        <v>30</v>
      </c>
      <c r="C97" s="3" t="s">
        <v>72</v>
      </c>
      <c r="D97" s="7">
        <v>28887</v>
      </c>
      <c r="E97" s="7">
        <v>20584</v>
      </c>
      <c r="F97" s="7">
        <v>8303</v>
      </c>
      <c r="G97" s="10">
        <v>0.71256966801675492</v>
      </c>
      <c r="H97" s="10">
        <v>0.59837374764048201</v>
      </c>
      <c r="I97" s="7">
        <v>9277</v>
      </c>
      <c r="J97" s="55">
        <v>593</v>
      </c>
    </row>
    <row r="98" spans="1:10" x14ac:dyDescent="0.35">
      <c r="A98" s="53">
        <v>46082</v>
      </c>
      <c r="B98" s="3" t="s">
        <v>31</v>
      </c>
      <c r="C98" s="3" t="s">
        <v>73</v>
      </c>
      <c r="D98" s="7">
        <v>96074</v>
      </c>
      <c r="E98" s="7">
        <v>76506</v>
      </c>
      <c r="F98" s="7">
        <v>19568</v>
      </c>
      <c r="G98" s="10">
        <v>0.79632366717322067</v>
      </c>
      <c r="H98" s="10">
        <v>0.65183872914517105</v>
      </c>
      <c r="I98" s="7">
        <v>14117</v>
      </c>
      <c r="J98" s="55">
        <v>1837</v>
      </c>
    </row>
    <row r="99" spans="1:10" x14ac:dyDescent="0.35">
      <c r="A99" s="53">
        <v>46082</v>
      </c>
      <c r="B99" s="3" t="s">
        <v>32</v>
      </c>
      <c r="C99" s="3" t="s">
        <v>74</v>
      </c>
      <c r="D99" s="7">
        <v>36352</v>
      </c>
      <c r="E99" s="7">
        <v>28553</v>
      </c>
      <c r="F99" s="7">
        <v>7799</v>
      </c>
      <c r="G99" s="10">
        <v>0.78545884683098588</v>
      </c>
      <c r="H99" s="10">
        <v>0.6817205207060707</v>
      </c>
      <c r="I99" s="7">
        <v>7106</v>
      </c>
      <c r="J99" s="55">
        <v>637</v>
      </c>
    </row>
    <row r="100" spans="1:10" x14ac:dyDescent="0.35">
      <c r="A100" s="53">
        <v>46082</v>
      </c>
      <c r="B100" s="3" t="s">
        <v>33</v>
      </c>
      <c r="C100" s="3" t="s">
        <v>75</v>
      </c>
      <c r="D100" s="7">
        <v>23404</v>
      </c>
      <c r="E100" s="7">
        <v>18097</v>
      </c>
      <c r="F100" s="7">
        <v>5307</v>
      </c>
      <c r="G100" s="10">
        <v>0.7732438899333447</v>
      </c>
      <c r="H100" s="10">
        <v>0.6457099045096536</v>
      </c>
      <c r="I100" s="7">
        <v>6032</v>
      </c>
      <c r="J100" s="55">
        <v>489</v>
      </c>
    </row>
    <row r="101" spans="1:10" x14ac:dyDescent="0.35">
      <c r="A101" s="53">
        <v>46082</v>
      </c>
      <c r="B101" s="3" t="s">
        <v>34</v>
      </c>
      <c r="C101" s="3" t="s">
        <v>76</v>
      </c>
      <c r="D101" s="7">
        <v>131744</v>
      </c>
      <c r="E101" s="7">
        <v>97622</v>
      </c>
      <c r="F101" s="7">
        <v>34122</v>
      </c>
      <c r="G101" s="10">
        <v>0.74099769249453484</v>
      </c>
      <c r="H101" s="10">
        <v>0.63428943218535305</v>
      </c>
      <c r="I101" s="7">
        <v>30867</v>
      </c>
      <c r="J101" s="55">
        <v>2485</v>
      </c>
    </row>
    <row r="102" spans="1:10" x14ac:dyDescent="0.35">
      <c r="A102" s="53">
        <v>46082</v>
      </c>
      <c r="B102" s="3" t="s">
        <v>35</v>
      </c>
      <c r="C102" s="3" t="s">
        <v>77</v>
      </c>
      <c r="D102" s="7">
        <v>70905</v>
      </c>
      <c r="E102" s="7">
        <v>55519</v>
      </c>
      <c r="F102" s="7">
        <v>15386</v>
      </c>
      <c r="G102" s="10">
        <v>0.78300542980043719</v>
      </c>
      <c r="H102" s="10">
        <v>0.63760803317180392</v>
      </c>
      <c r="I102" s="7">
        <v>18134</v>
      </c>
      <c r="J102" s="55">
        <v>1121</v>
      </c>
    </row>
    <row r="103" spans="1:10" x14ac:dyDescent="0.35">
      <c r="A103" s="53">
        <v>46082</v>
      </c>
      <c r="B103" s="3" t="s">
        <v>36</v>
      </c>
      <c r="C103" s="3" t="s">
        <v>78</v>
      </c>
      <c r="D103" s="7">
        <v>76557</v>
      </c>
      <c r="E103" s="7">
        <v>60092</v>
      </c>
      <c r="F103" s="7">
        <v>16465</v>
      </c>
      <c r="G103" s="10">
        <v>0.78493148895594134</v>
      </c>
      <c r="H103" s="10">
        <v>0.64928205597219679</v>
      </c>
      <c r="I103" s="7">
        <v>18717</v>
      </c>
      <c r="J103" s="55">
        <v>2260</v>
      </c>
    </row>
    <row r="104" spans="1:10" x14ac:dyDescent="0.35">
      <c r="A104" s="53">
        <v>46082</v>
      </c>
      <c r="B104" s="3" t="s">
        <v>37</v>
      </c>
      <c r="C104" s="3" t="s">
        <v>79</v>
      </c>
      <c r="D104" s="7">
        <v>27922</v>
      </c>
      <c r="E104" s="7">
        <v>19373</v>
      </c>
      <c r="F104" s="7">
        <v>8549</v>
      </c>
      <c r="G104" s="10">
        <v>0.69382565718788047</v>
      </c>
      <c r="H104" s="10">
        <v>0.58661934166383045</v>
      </c>
      <c r="I104" s="7">
        <v>5715</v>
      </c>
      <c r="J104" s="55">
        <v>1069</v>
      </c>
    </row>
    <row r="105" spans="1:10" x14ac:dyDescent="0.35">
      <c r="A105" s="53">
        <v>46082</v>
      </c>
      <c r="B105" s="3" t="s">
        <v>38</v>
      </c>
      <c r="C105" s="3" t="s">
        <v>80</v>
      </c>
      <c r="D105" s="7">
        <v>50841</v>
      </c>
      <c r="E105" s="7">
        <v>42014</v>
      </c>
      <c r="F105" s="7">
        <v>8827</v>
      </c>
      <c r="G105" s="10">
        <v>0.82638028362935423</v>
      </c>
      <c r="H105" s="10">
        <v>0.68455526609601791</v>
      </c>
      <c r="I105" s="7">
        <v>10543</v>
      </c>
      <c r="J105" s="55">
        <v>275</v>
      </c>
    </row>
    <row r="106" spans="1:10" x14ac:dyDescent="0.35">
      <c r="A106" s="53">
        <v>46082</v>
      </c>
      <c r="B106" s="3" t="s">
        <v>39</v>
      </c>
      <c r="C106" s="3" t="s">
        <v>81</v>
      </c>
      <c r="D106" s="7">
        <v>70470</v>
      </c>
      <c r="E106" s="7">
        <v>52515</v>
      </c>
      <c r="F106" s="7">
        <v>17955</v>
      </c>
      <c r="G106" s="10">
        <v>0.74521072796934862</v>
      </c>
      <c r="H106" s="10">
        <v>0.56890048568771312</v>
      </c>
      <c r="I106" s="7">
        <v>21158</v>
      </c>
      <c r="J106" s="55">
        <v>1337</v>
      </c>
    </row>
    <row r="107" spans="1:10" x14ac:dyDescent="0.35">
      <c r="A107" s="53">
        <v>46082</v>
      </c>
      <c r="B107" s="3" t="s">
        <v>40</v>
      </c>
      <c r="C107" s="3" t="s">
        <v>82</v>
      </c>
      <c r="D107" s="7">
        <v>56021</v>
      </c>
      <c r="E107" s="7">
        <v>42650</v>
      </c>
      <c r="F107" s="7">
        <v>13371</v>
      </c>
      <c r="G107" s="10">
        <v>0.76132164723942808</v>
      </c>
      <c r="H107" s="10">
        <v>0.56606147150822794</v>
      </c>
      <c r="I107" s="7">
        <v>8536</v>
      </c>
      <c r="J107" s="55">
        <v>537</v>
      </c>
    </row>
    <row r="108" spans="1:10" x14ac:dyDescent="0.35">
      <c r="A108" s="53">
        <v>46082</v>
      </c>
      <c r="B108" s="3" t="s">
        <v>41</v>
      </c>
      <c r="C108" s="3" t="s">
        <v>83</v>
      </c>
      <c r="D108" s="7">
        <v>103534</v>
      </c>
      <c r="E108" s="7">
        <v>84485</v>
      </c>
      <c r="F108" s="7">
        <v>19049</v>
      </c>
      <c r="G108" s="10">
        <v>0.81601213128054551</v>
      </c>
      <c r="H108" s="10">
        <v>0.70806219604082477</v>
      </c>
      <c r="I108" s="7">
        <v>13914</v>
      </c>
      <c r="J108" s="55">
        <v>2336</v>
      </c>
    </row>
    <row r="109" spans="1:10" x14ac:dyDescent="0.35">
      <c r="A109" s="53">
        <v>46082</v>
      </c>
      <c r="B109" s="3" t="s">
        <v>42</v>
      </c>
      <c r="C109" s="3" t="s">
        <v>84</v>
      </c>
      <c r="D109" s="7">
        <v>42372</v>
      </c>
      <c r="E109" s="7">
        <v>33701</v>
      </c>
      <c r="F109" s="7">
        <v>8671</v>
      </c>
      <c r="G109" s="10">
        <v>0.79536014349098461</v>
      </c>
      <c r="H109" s="10">
        <v>0.63812284216359061</v>
      </c>
      <c r="I109" s="7">
        <v>11166</v>
      </c>
      <c r="J109" s="55">
        <v>592</v>
      </c>
    </row>
    <row r="110" spans="1:10" x14ac:dyDescent="0.35">
      <c r="A110" s="53">
        <v>46082</v>
      </c>
      <c r="B110" s="3" t="s">
        <v>43</v>
      </c>
      <c r="C110" s="3" t="s">
        <v>85</v>
      </c>
      <c r="D110" s="7">
        <v>32777</v>
      </c>
      <c r="E110" s="7">
        <v>26636</v>
      </c>
      <c r="F110" s="7">
        <v>6141</v>
      </c>
      <c r="G110" s="10">
        <v>0.81264301186807819</v>
      </c>
      <c r="H110" s="10">
        <v>0.69251006711409391</v>
      </c>
      <c r="I110" s="7">
        <v>6157</v>
      </c>
      <c r="J110" s="55">
        <v>1132</v>
      </c>
    </row>
    <row r="111" spans="1:10" x14ac:dyDescent="0.35">
      <c r="A111" s="53">
        <v>46082</v>
      </c>
      <c r="B111" s="3" t="s">
        <v>44</v>
      </c>
      <c r="C111" s="3" t="s">
        <v>86</v>
      </c>
      <c r="D111" s="7">
        <v>36939</v>
      </c>
      <c r="E111" s="7">
        <v>25137</v>
      </c>
      <c r="F111" s="7">
        <v>11802</v>
      </c>
      <c r="G111" s="10">
        <v>0.68050028425241615</v>
      </c>
      <c r="H111" s="10">
        <v>0.59826812508764549</v>
      </c>
      <c r="I111" s="7">
        <v>10303</v>
      </c>
      <c r="J111" s="55">
        <v>793</v>
      </c>
    </row>
    <row r="112" spans="1:10" x14ac:dyDescent="0.35">
      <c r="A112" s="53">
        <v>46082</v>
      </c>
      <c r="B112" s="3" t="s">
        <v>45</v>
      </c>
      <c r="C112" s="3" t="s">
        <v>87</v>
      </c>
      <c r="D112" s="7">
        <v>39821</v>
      </c>
      <c r="E112" s="7">
        <v>30533</v>
      </c>
      <c r="F112" s="7">
        <v>9288</v>
      </c>
      <c r="G112" s="10">
        <v>0.76675623414781147</v>
      </c>
      <c r="H112" s="10">
        <v>0.67158736901727556</v>
      </c>
      <c r="I112" s="7">
        <v>8266</v>
      </c>
      <c r="J112" s="55">
        <v>796</v>
      </c>
    </row>
    <row r="113" spans="1:10" x14ac:dyDescent="0.35">
      <c r="A113" s="53">
        <v>46082</v>
      </c>
      <c r="B113" s="3" t="s">
        <v>46</v>
      </c>
      <c r="C113" s="3" t="s">
        <v>88</v>
      </c>
      <c r="D113" s="7">
        <v>74735</v>
      </c>
      <c r="E113" s="7">
        <v>60798</v>
      </c>
      <c r="F113" s="7">
        <v>13937</v>
      </c>
      <c r="G113" s="10">
        <v>0.81351441760888477</v>
      </c>
      <c r="H113" s="10">
        <v>0.74477962781586682</v>
      </c>
      <c r="I113" s="7">
        <v>11039</v>
      </c>
      <c r="J113" s="55">
        <v>2074</v>
      </c>
    </row>
    <row r="114" spans="1:10" x14ac:dyDescent="0.35">
      <c r="A114" s="53">
        <v>46082</v>
      </c>
      <c r="B114" s="3" t="s">
        <v>47</v>
      </c>
      <c r="C114" s="3" t="s">
        <v>89</v>
      </c>
      <c r="D114" s="7">
        <v>108046</v>
      </c>
      <c r="E114" s="7">
        <v>90198</v>
      </c>
      <c r="F114" s="7">
        <v>17848</v>
      </c>
      <c r="G114" s="10">
        <v>0.83481109897636196</v>
      </c>
      <c r="H114" s="10">
        <v>0.68054029477512978</v>
      </c>
      <c r="I114" s="7">
        <v>17663</v>
      </c>
      <c r="J114" s="55">
        <v>467</v>
      </c>
    </row>
    <row r="115" spans="1:10" x14ac:dyDescent="0.35">
      <c r="A115" s="53">
        <v>46082</v>
      </c>
      <c r="B115" s="3" t="s">
        <v>48</v>
      </c>
      <c r="C115" s="3" t="s">
        <v>90</v>
      </c>
      <c r="D115" s="7">
        <v>34939</v>
      </c>
      <c r="E115" s="7">
        <v>27301</v>
      </c>
      <c r="F115" s="7">
        <v>7638</v>
      </c>
      <c r="G115" s="10">
        <v>0.78139042330919606</v>
      </c>
      <c r="H115" s="10">
        <v>0.66500989663514409</v>
      </c>
      <c r="I115" s="7">
        <v>5439</v>
      </c>
      <c r="J115" s="55">
        <v>1327</v>
      </c>
    </row>
    <row r="116" spans="1:10" x14ac:dyDescent="0.35">
      <c r="A116" s="53">
        <v>46082</v>
      </c>
      <c r="B116" s="3" t="s">
        <v>49</v>
      </c>
      <c r="C116" s="3" t="s">
        <v>91</v>
      </c>
      <c r="D116" s="7">
        <v>42973</v>
      </c>
      <c r="E116" s="7">
        <v>30338</v>
      </c>
      <c r="F116" s="7">
        <v>12635</v>
      </c>
      <c r="G116" s="10">
        <v>0.70597817234077209</v>
      </c>
      <c r="H116" s="10">
        <v>0.56537385045981603</v>
      </c>
      <c r="I116" s="7">
        <v>13206</v>
      </c>
      <c r="J116" s="55">
        <v>1477</v>
      </c>
    </row>
    <row r="117" spans="1:10" x14ac:dyDescent="0.35">
      <c r="A117" s="53">
        <v>46082</v>
      </c>
      <c r="B117" s="3" t="s">
        <v>50</v>
      </c>
      <c r="C117" s="3" t="s">
        <v>92</v>
      </c>
      <c r="D117" s="7">
        <v>83677</v>
      </c>
      <c r="E117" s="7">
        <v>63136</v>
      </c>
      <c r="F117" s="7">
        <v>20541</v>
      </c>
      <c r="G117" s="10">
        <v>0.75452035804342887</v>
      </c>
      <c r="H117" s="10">
        <v>0.56803062061423493</v>
      </c>
      <c r="I117" s="7">
        <v>10852</v>
      </c>
      <c r="J117" s="55">
        <v>1217</v>
      </c>
    </row>
    <row r="118" spans="1:10" x14ac:dyDescent="0.35">
      <c r="A118" s="53">
        <v>46082</v>
      </c>
      <c r="B118" s="3" t="s">
        <v>51</v>
      </c>
      <c r="C118" s="3" t="s">
        <v>93</v>
      </c>
      <c r="D118" s="7">
        <v>17286</v>
      </c>
      <c r="E118" s="7">
        <v>10623</v>
      </c>
      <c r="F118" s="7">
        <v>6663</v>
      </c>
      <c r="G118" s="10">
        <v>0.61454356126345022</v>
      </c>
      <c r="H118" s="10">
        <v>0.45124934474925738</v>
      </c>
      <c r="I118" s="7">
        <v>6125</v>
      </c>
      <c r="J118" s="55">
        <v>1173</v>
      </c>
    </row>
    <row r="119" spans="1:10" x14ac:dyDescent="0.35">
      <c r="A119" s="53">
        <v>46082</v>
      </c>
      <c r="B119" s="3" t="s">
        <v>52</v>
      </c>
      <c r="C119" s="3" t="s">
        <v>94</v>
      </c>
      <c r="D119" s="7">
        <v>22545</v>
      </c>
      <c r="E119" s="7">
        <v>16418</v>
      </c>
      <c r="F119" s="7">
        <v>6127</v>
      </c>
      <c r="G119" s="10">
        <v>0.72823242404080724</v>
      </c>
      <c r="H119" s="10">
        <v>0.52075596269703717</v>
      </c>
      <c r="I119" s="7">
        <v>4300</v>
      </c>
      <c r="J119" s="55">
        <v>73</v>
      </c>
    </row>
    <row r="120" spans="1:10" x14ac:dyDescent="0.35">
      <c r="A120" s="53">
        <v>46082</v>
      </c>
      <c r="B120" s="3" t="s">
        <v>53</v>
      </c>
      <c r="C120" s="3" t="s">
        <v>95</v>
      </c>
      <c r="D120" s="7">
        <v>62066</v>
      </c>
      <c r="E120" s="7">
        <v>48296</v>
      </c>
      <c r="F120" s="7">
        <v>13770</v>
      </c>
      <c r="G120" s="10">
        <v>0.7781393999935553</v>
      </c>
      <c r="H120" s="10">
        <v>0.68467111398034575</v>
      </c>
      <c r="I120" s="7">
        <v>10109</v>
      </c>
      <c r="J120" s="55">
        <v>2228</v>
      </c>
    </row>
    <row r="121" spans="1:10" x14ac:dyDescent="0.35">
      <c r="A121" s="53">
        <v>46082</v>
      </c>
      <c r="B121" s="3" t="s">
        <v>54</v>
      </c>
      <c r="C121" s="3" t="s">
        <v>96</v>
      </c>
      <c r="D121" s="7">
        <v>62869</v>
      </c>
      <c r="E121" s="7">
        <v>48979</v>
      </c>
      <c r="F121" s="7">
        <v>13890</v>
      </c>
      <c r="G121" s="10">
        <v>0.77906440376019981</v>
      </c>
      <c r="H121" s="10">
        <v>0.71607756093475161</v>
      </c>
      <c r="I121" s="7">
        <v>19716</v>
      </c>
      <c r="J121" s="55">
        <v>145</v>
      </c>
    </row>
    <row r="122" spans="1:10" x14ac:dyDescent="0.35">
      <c r="A122" s="53">
        <v>46082</v>
      </c>
      <c r="B122" s="3" t="s">
        <v>55</v>
      </c>
      <c r="C122" s="3" t="s">
        <v>97</v>
      </c>
      <c r="D122" s="7">
        <v>25668</v>
      </c>
      <c r="E122" s="7">
        <v>17056</v>
      </c>
      <c r="F122" s="7">
        <v>8612</v>
      </c>
      <c r="G122" s="10">
        <v>0.66448496182016514</v>
      </c>
      <c r="H122" s="10">
        <v>0.46817982318640666</v>
      </c>
      <c r="I122" s="7">
        <v>6014</v>
      </c>
      <c r="J122" s="55">
        <v>820</v>
      </c>
    </row>
    <row r="123" spans="1:10" x14ac:dyDescent="0.35">
      <c r="A123" s="53">
        <v>46082</v>
      </c>
      <c r="B123" s="3" t="s">
        <v>56</v>
      </c>
      <c r="C123" s="3" t="s">
        <v>98</v>
      </c>
      <c r="D123" s="7">
        <v>34423</v>
      </c>
      <c r="E123" s="7">
        <v>26548</v>
      </c>
      <c r="F123" s="7">
        <v>7875</v>
      </c>
      <c r="G123" s="10">
        <v>0.77122853905818789</v>
      </c>
      <c r="H123" s="10">
        <v>0.64520361305949436</v>
      </c>
      <c r="I123" s="7">
        <v>7856</v>
      </c>
      <c r="J123" s="55">
        <v>877</v>
      </c>
    </row>
    <row r="124" spans="1:10" x14ac:dyDescent="0.35">
      <c r="A124" s="53">
        <v>46082</v>
      </c>
      <c r="B124" s="3" t="s">
        <v>57</v>
      </c>
      <c r="C124" s="3" t="s">
        <v>99</v>
      </c>
      <c r="D124" s="7">
        <v>37006</v>
      </c>
      <c r="E124" s="7">
        <v>26151</v>
      </c>
      <c r="F124" s="7">
        <v>10855</v>
      </c>
      <c r="G124" s="10">
        <v>0.7066691887801978</v>
      </c>
      <c r="H124" s="10">
        <v>0.5938043067623725</v>
      </c>
      <c r="I124" s="7">
        <v>10415</v>
      </c>
      <c r="J124" s="55">
        <v>1050</v>
      </c>
    </row>
    <row r="125" spans="1:10" x14ac:dyDescent="0.35">
      <c r="A125" s="53">
        <v>46082</v>
      </c>
      <c r="B125" s="3" t="s">
        <v>58</v>
      </c>
      <c r="C125" s="5" t="s">
        <v>100</v>
      </c>
      <c r="D125" s="7">
        <v>67649</v>
      </c>
      <c r="E125" s="7">
        <v>51913</v>
      </c>
      <c r="F125" s="7">
        <v>15736</v>
      </c>
      <c r="G125" s="10">
        <v>0.76738754453133085</v>
      </c>
      <c r="H125" s="10">
        <v>0.63275247812704494</v>
      </c>
      <c r="I125" s="7">
        <v>14767</v>
      </c>
      <c r="J125" s="55">
        <v>1063</v>
      </c>
    </row>
    <row r="126" spans="1:10" x14ac:dyDescent="0.35">
      <c r="A126" s="53">
        <v>46082</v>
      </c>
      <c r="B126" s="3" t="s">
        <v>59</v>
      </c>
      <c r="C126" s="3" t="s">
        <v>101</v>
      </c>
      <c r="D126" s="7">
        <v>75568</v>
      </c>
      <c r="E126" s="7">
        <v>61778</v>
      </c>
      <c r="F126" s="7">
        <v>13790</v>
      </c>
      <c r="G126" s="10">
        <v>0.81751535041287315</v>
      </c>
      <c r="H126" s="10">
        <v>0.70141116100064149</v>
      </c>
      <c r="I126" s="7">
        <v>21797</v>
      </c>
      <c r="J126" s="55">
        <v>1362</v>
      </c>
    </row>
    <row r="127" spans="1:10" ht="15" thickBot="1" x14ac:dyDescent="0.4">
      <c r="A127" s="57">
        <v>46082</v>
      </c>
      <c r="B127" s="58" t="s">
        <v>60</v>
      </c>
      <c r="C127" s="59" t="s">
        <v>102</v>
      </c>
      <c r="D127" s="60">
        <v>94196</v>
      </c>
      <c r="E127" s="60">
        <v>74984</v>
      </c>
      <c r="F127" s="60">
        <v>19212</v>
      </c>
      <c r="G127" s="61">
        <v>0.79604229478958766</v>
      </c>
      <c r="H127" s="61">
        <v>0.72073928057980463</v>
      </c>
      <c r="I127" s="60">
        <v>18993</v>
      </c>
      <c r="J127" s="62">
        <v>1419</v>
      </c>
    </row>
    <row r="128" spans="1:10" x14ac:dyDescent="0.35">
      <c r="B128" s="47"/>
      <c r="C128" s="47"/>
      <c r="D128" s="7"/>
      <c r="E128" s="7"/>
      <c r="F128" s="7"/>
      <c r="G128" s="48"/>
      <c r="H128" s="48"/>
      <c r="I128" s="49"/>
      <c r="J128" s="49"/>
    </row>
    <row r="129" spans="2:10" x14ac:dyDescent="0.35">
      <c r="B129" s="12"/>
      <c r="C129" s="12"/>
      <c r="D129" s="3"/>
      <c r="E129" s="3"/>
      <c r="F129" s="3"/>
      <c r="G129" s="10"/>
      <c r="H129" s="10"/>
      <c r="I129" s="15"/>
      <c r="J129" s="15"/>
    </row>
    <row r="130" spans="2:10" x14ac:dyDescent="0.35">
      <c r="B130" s="12"/>
      <c r="C130" s="12"/>
      <c r="D130" s="3"/>
      <c r="E130" s="3"/>
      <c r="F130" s="3"/>
      <c r="G130" s="10"/>
      <c r="H130" s="10"/>
      <c r="I130" s="15"/>
      <c r="J130" s="15"/>
    </row>
    <row r="131" spans="2:10" x14ac:dyDescent="0.35">
      <c r="B131" s="12"/>
      <c r="C131" s="12"/>
      <c r="D131" s="3"/>
      <c r="E131" s="3"/>
      <c r="F131" s="3"/>
      <c r="G131" s="10"/>
      <c r="H131" s="10"/>
      <c r="I131" s="15"/>
      <c r="J131" s="15"/>
    </row>
    <row r="132" spans="2:10" x14ac:dyDescent="0.35">
      <c r="B132" s="12"/>
      <c r="C132" s="12"/>
      <c r="D132" s="3"/>
      <c r="E132" s="3"/>
      <c r="F132" s="3"/>
      <c r="G132" s="10"/>
      <c r="H132" s="10"/>
      <c r="I132" s="15"/>
      <c r="J132" s="15"/>
    </row>
    <row r="133" spans="2:10" x14ac:dyDescent="0.35">
      <c r="B133" s="12"/>
      <c r="C133" s="12"/>
      <c r="D133" s="3"/>
      <c r="E133" s="3"/>
      <c r="F133" s="3"/>
      <c r="G133" s="10"/>
      <c r="H133" s="10"/>
      <c r="I133" s="15"/>
      <c r="J133" s="15"/>
    </row>
    <row r="134" spans="2:10" x14ac:dyDescent="0.35">
      <c r="B134" s="12"/>
      <c r="C134" s="12"/>
      <c r="D134" s="3"/>
      <c r="E134" s="3"/>
      <c r="F134" s="3"/>
      <c r="G134" s="10"/>
      <c r="H134" s="10"/>
      <c r="I134" s="15"/>
      <c r="J134" s="15"/>
    </row>
    <row r="135" spans="2:10" x14ac:dyDescent="0.35">
      <c r="B135" s="12"/>
      <c r="C135" s="12"/>
      <c r="D135" s="3"/>
      <c r="E135" s="3"/>
      <c r="F135" s="3"/>
      <c r="G135" s="10"/>
      <c r="H135" s="10"/>
      <c r="I135" s="15"/>
      <c r="J135" s="15"/>
    </row>
    <row r="136" spans="2:10" x14ac:dyDescent="0.35">
      <c r="B136" s="12"/>
      <c r="C136" s="12"/>
      <c r="D136" s="3"/>
      <c r="E136" s="3"/>
      <c r="F136" s="3"/>
      <c r="G136" s="10"/>
      <c r="H136" s="10"/>
      <c r="I136" s="15"/>
      <c r="J136" s="15"/>
    </row>
    <row r="137" spans="2:10" x14ac:dyDescent="0.35">
      <c r="B137" s="12"/>
      <c r="C137" s="12"/>
      <c r="D137" s="3"/>
      <c r="E137" s="3"/>
      <c r="F137" s="3"/>
      <c r="G137" s="10"/>
      <c r="H137" s="10"/>
      <c r="I137" s="15"/>
      <c r="J137" s="15"/>
    </row>
    <row r="138" spans="2:10" x14ac:dyDescent="0.35">
      <c r="B138" s="12"/>
      <c r="C138" s="12"/>
      <c r="D138" s="3"/>
      <c r="E138" s="3"/>
      <c r="F138" s="3"/>
      <c r="G138" s="10"/>
      <c r="H138" s="10"/>
      <c r="I138" s="15"/>
      <c r="J138" s="15"/>
    </row>
    <row r="139" spans="2:10" x14ac:dyDescent="0.35">
      <c r="B139" s="12"/>
      <c r="C139" s="12"/>
      <c r="D139" s="3"/>
      <c r="E139" s="3"/>
      <c r="F139" s="3"/>
      <c r="G139" s="10"/>
      <c r="H139" s="10"/>
      <c r="I139" s="15"/>
      <c r="J139" s="15"/>
    </row>
    <row r="140" spans="2:10" x14ac:dyDescent="0.35">
      <c r="B140" s="12"/>
      <c r="C140" s="12"/>
      <c r="D140" s="3"/>
      <c r="E140" s="3"/>
      <c r="F140" s="3"/>
      <c r="G140" s="10"/>
      <c r="H140" s="10"/>
      <c r="I140" s="15"/>
      <c r="J140" s="15"/>
    </row>
    <row r="141" spans="2:10" x14ac:dyDescent="0.35">
      <c r="B141" s="12"/>
      <c r="C141" s="12"/>
      <c r="D141" s="3"/>
      <c r="E141" s="3"/>
      <c r="F141" s="3"/>
      <c r="G141" s="10"/>
      <c r="H141" s="10"/>
      <c r="I141" s="15"/>
      <c r="J141" s="15"/>
    </row>
    <row r="142" spans="2:10" x14ac:dyDescent="0.35">
      <c r="B142" s="12"/>
      <c r="C142" s="12"/>
      <c r="D142" s="3"/>
      <c r="E142" s="3"/>
      <c r="F142" s="3"/>
      <c r="G142" s="10"/>
      <c r="H142" s="10"/>
      <c r="I142" s="15"/>
      <c r="J142" s="15"/>
    </row>
    <row r="143" spans="2:10" x14ac:dyDescent="0.35">
      <c r="B143" s="12"/>
      <c r="C143" s="12"/>
      <c r="D143" s="3"/>
      <c r="E143" s="3"/>
      <c r="F143" s="3"/>
      <c r="G143" s="10"/>
      <c r="H143" s="10"/>
      <c r="I143" s="15"/>
      <c r="J143" s="15"/>
    </row>
    <row r="144" spans="2:10" x14ac:dyDescent="0.35">
      <c r="B144" s="12"/>
      <c r="C144" s="12"/>
      <c r="D144" s="3"/>
      <c r="E144" s="3"/>
      <c r="F144" s="3"/>
      <c r="G144" s="10"/>
      <c r="H144" s="10"/>
      <c r="I144" s="15"/>
      <c r="J144" s="15"/>
    </row>
    <row r="145" spans="2:10" x14ac:dyDescent="0.35">
      <c r="B145" s="12"/>
      <c r="C145" s="12"/>
      <c r="D145" s="3"/>
      <c r="E145" s="3"/>
      <c r="F145" s="3"/>
      <c r="G145" s="10"/>
      <c r="H145" s="10"/>
      <c r="I145" s="15"/>
      <c r="J145" s="15"/>
    </row>
    <row r="146" spans="2:10" x14ac:dyDescent="0.35">
      <c r="B146" s="12"/>
      <c r="C146" s="12"/>
      <c r="D146" s="3"/>
      <c r="E146" s="3"/>
      <c r="F146" s="3"/>
      <c r="G146" s="10"/>
      <c r="H146" s="10"/>
      <c r="I146" s="15"/>
      <c r="J146" s="15"/>
    </row>
    <row r="147" spans="2:10" x14ac:dyDescent="0.35">
      <c r="B147" s="12"/>
      <c r="C147" s="12"/>
      <c r="D147" s="3"/>
      <c r="E147" s="3"/>
      <c r="F147" s="3"/>
      <c r="G147" s="10"/>
      <c r="H147" s="10"/>
      <c r="I147" s="15"/>
      <c r="J147" s="15"/>
    </row>
    <row r="148" spans="2:10" x14ac:dyDescent="0.35">
      <c r="B148" s="12"/>
      <c r="C148" s="12"/>
      <c r="D148" s="3"/>
      <c r="E148" s="3"/>
      <c r="F148" s="3"/>
      <c r="G148" s="10"/>
      <c r="H148" s="10"/>
      <c r="I148" s="15"/>
      <c r="J148" s="15"/>
    </row>
    <row r="149" spans="2:10" x14ac:dyDescent="0.35">
      <c r="B149" s="12"/>
      <c r="C149" s="12"/>
      <c r="D149" s="3"/>
      <c r="E149" s="3"/>
      <c r="F149" s="3"/>
      <c r="G149" s="10"/>
      <c r="H149" s="10"/>
      <c r="I149" s="15"/>
      <c r="J149" s="15"/>
    </row>
    <row r="150" spans="2:10" x14ac:dyDescent="0.35">
      <c r="B150" s="12"/>
      <c r="C150" s="12"/>
      <c r="D150" s="3"/>
      <c r="E150" s="3"/>
      <c r="F150" s="3"/>
      <c r="G150" s="10"/>
      <c r="H150" s="10"/>
      <c r="I150" s="15"/>
      <c r="J150" s="15"/>
    </row>
    <row r="151" spans="2:10" x14ac:dyDescent="0.35">
      <c r="B151" s="12"/>
      <c r="C151" s="12"/>
      <c r="D151" s="3"/>
      <c r="E151" s="3"/>
      <c r="F151" s="3"/>
      <c r="G151" s="10"/>
      <c r="H151" s="10"/>
      <c r="I151" s="15"/>
      <c r="J151" s="15"/>
    </row>
    <row r="152" spans="2:10" x14ac:dyDescent="0.35">
      <c r="B152" s="12"/>
      <c r="C152" s="12"/>
      <c r="D152" s="3"/>
      <c r="E152" s="3"/>
      <c r="F152" s="3"/>
      <c r="G152" s="10"/>
      <c r="H152" s="10"/>
      <c r="I152" s="15"/>
      <c r="J152" s="15"/>
    </row>
    <row r="153" spans="2:10" x14ac:dyDescent="0.35">
      <c r="B153" s="12"/>
      <c r="C153" s="12"/>
      <c r="D153" s="3"/>
      <c r="E153" s="3"/>
      <c r="F153" s="3"/>
      <c r="G153" s="10"/>
      <c r="H153" s="10"/>
      <c r="I153" s="15"/>
      <c r="J153" s="15"/>
    </row>
    <row r="154" spans="2:10" x14ac:dyDescent="0.35">
      <c r="B154" s="12"/>
      <c r="C154" s="12"/>
      <c r="D154" s="3"/>
      <c r="E154" s="3"/>
      <c r="F154" s="3"/>
      <c r="G154" s="10"/>
      <c r="H154" s="10"/>
      <c r="I154" s="15"/>
      <c r="J154" s="15"/>
    </row>
    <row r="155" spans="2:10" x14ac:dyDescent="0.35">
      <c r="B155" s="12"/>
      <c r="C155" s="12"/>
      <c r="D155" s="3"/>
      <c r="E155" s="3"/>
      <c r="F155" s="3"/>
      <c r="G155" s="10"/>
      <c r="H155" s="10"/>
      <c r="I155" s="15"/>
      <c r="J155" s="15"/>
    </row>
    <row r="156" spans="2:10" x14ac:dyDescent="0.35">
      <c r="B156" s="12"/>
      <c r="C156" s="12"/>
      <c r="D156" s="3"/>
      <c r="E156" s="3"/>
      <c r="F156" s="3"/>
      <c r="G156" s="10"/>
      <c r="H156" s="10"/>
      <c r="I156" s="15"/>
      <c r="J156" s="15"/>
    </row>
    <row r="157" spans="2:10" x14ac:dyDescent="0.35">
      <c r="B157" s="12"/>
      <c r="C157" s="12"/>
      <c r="D157" s="3"/>
      <c r="E157" s="3"/>
      <c r="F157" s="3"/>
      <c r="G157" s="10"/>
      <c r="H157" s="10"/>
      <c r="I157" s="15"/>
      <c r="J157" s="15"/>
    </row>
    <row r="158" spans="2:10" x14ac:dyDescent="0.35">
      <c r="B158" s="12"/>
      <c r="C158" s="12"/>
      <c r="D158" s="3"/>
      <c r="E158" s="3"/>
      <c r="F158" s="3"/>
      <c r="G158" s="10"/>
      <c r="H158" s="10"/>
      <c r="I158" s="15"/>
      <c r="J158" s="15"/>
    </row>
    <row r="159" spans="2:10" x14ac:dyDescent="0.35">
      <c r="B159" s="12"/>
      <c r="C159" s="12"/>
      <c r="D159" s="3"/>
      <c r="E159" s="3"/>
      <c r="F159" s="3"/>
      <c r="G159" s="10"/>
      <c r="H159" s="10"/>
      <c r="I159" s="15"/>
      <c r="J159" s="15"/>
    </row>
    <row r="160" spans="2:10" x14ac:dyDescent="0.35">
      <c r="B160" s="12"/>
      <c r="C160" s="12"/>
      <c r="D160" s="3"/>
      <c r="E160" s="3"/>
      <c r="F160" s="3"/>
      <c r="G160" s="10"/>
      <c r="H160" s="10"/>
      <c r="I160" s="15"/>
      <c r="J160" s="15"/>
    </row>
    <row r="161" spans="2:10" x14ac:dyDescent="0.35">
      <c r="B161" s="12"/>
      <c r="C161" s="12"/>
      <c r="D161" s="3"/>
      <c r="E161" s="3"/>
      <c r="F161" s="3"/>
      <c r="G161" s="10"/>
      <c r="H161" s="10"/>
      <c r="I161" s="15"/>
      <c r="J161" s="15"/>
    </row>
    <row r="162" spans="2:10" x14ac:dyDescent="0.35">
      <c r="B162" s="12"/>
      <c r="C162" s="12"/>
      <c r="D162" s="3"/>
      <c r="E162" s="3"/>
      <c r="F162" s="3"/>
      <c r="G162" s="10"/>
      <c r="H162" s="10"/>
      <c r="I162" s="15"/>
      <c r="J162" s="15"/>
    </row>
    <row r="163" spans="2:10" x14ac:dyDescent="0.35">
      <c r="B163" s="12"/>
      <c r="C163" s="12"/>
      <c r="D163" s="3"/>
      <c r="E163" s="3"/>
      <c r="F163" s="3"/>
      <c r="G163" s="10"/>
      <c r="H163" s="10"/>
      <c r="I163" s="15"/>
      <c r="J163" s="15"/>
    </row>
    <row r="164" spans="2:10" x14ac:dyDescent="0.35">
      <c r="B164" s="12"/>
      <c r="C164" s="12"/>
      <c r="D164" s="3"/>
      <c r="E164" s="3"/>
      <c r="F164" s="3"/>
      <c r="G164" s="10"/>
      <c r="H164" s="10"/>
      <c r="I164" s="15"/>
      <c r="J164" s="15"/>
    </row>
    <row r="165" spans="2:10" x14ac:dyDescent="0.35">
      <c r="B165" s="12"/>
      <c r="C165" s="12"/>
      <c r="D165" s="3"/>
      <c r="E165" s="3"/>
      <c r="F165" s="3"/>
      <c r="G165" s="10"/>
      <c r="H165" s="10"/>
      <c r="I165" s="15"/>
      <c r="J165" s="15"/>
    </row>
    <row r="166" spans="2:10" x14ac:dyDescent="0.35">
      <c r="B166" s="12"/>
      <c r="C166" s="12"/>
      <c r="D166" s="3"/>
      <c r="E166" s="3"/>
      <c r="F166" s="3"/>
      <c r="G166" s="10"/>
      <c r="H166" s="10"/>
      <c r="I166" s="15"/>
      <c r="J166" s="15"/>
    </row>
    <row r="167" spans="2:10" x14ac:dyDescent="0.35">
      <c r="B167" s="12"/>
      <c r="C167" s="12"/>
      <c r="D167" s="3"/>
      <c r="E167" s="3"/>
      <c r="F167" s="3"/>
      <c r="G167" s="10"/>
      <c r="H167" s="10"/>
      <c r="I167" s="15"/>
      <c r="J167" s="15"/>
    </row>
    <row r="168" spans="2:10" x14ac:dyDescent="0.35">
      <c r="B168" s="12"/>
      <c r="C168" s="12"/>
      <c r="D168" s="3"/>
      <c r="E168" s="3"/>
      <c r="F168" s="3"/>
      <c r="G168" s="10"/>
      <c r="H168" s="10"/>
      <c r="I168" s="15"/>
      <c r="J168" s="15"/>
    </row>
    <row r="169" spans="2:10" x14ac:dyDescent="0.35">
      <c r="B169" s="12"/>
      <c r="C169" s="12"/>
      <c r="D169" s="3"/>
      <c r="E169" s="3"/>
      <c r="F169" s="3"/>
      <c r="G169" s="10"/>
      <c r="H169" s="10"/>
      <c r="I169" s="15"/>
      <c r="J169" s="15"/>
    </row>
    <row r="170" spans="2:10" x14ac:dyDescent="0.35">
      <c r="B170" s="12"/>
      <c r="C170" s="12"/>
      <c r="D170" s="3"/>
      <c r="E170" s="3"/>
      <c r="F170" s="3"/>
      <c r="G170" s="10"/>
      <c r="H170" s="10"/>
      <c r="I170" s="15"/>
      <c r="J170" s="15"/>
    </row>
    <row r="171" spans="2:10" x14ac:dyDescent="0.35">
      <c r="B171" s="12"/>
      <c r="C171" s="12"/>
      <c r="D171" s="3"/>
      <c r="E171" s="3"/>
      <c r="F171" s="3"/>
      <c r="G171" s="10"/>
      <c r="H171" s="10"/>
      <c r="I171" s="15"/>
      <c r="J171" s="15"/>
    </row>
    <row r="172" spans="2:10" x14ac:dyDescent="0.35">
      <c r="B172" s="12"/>
      <c r="C172" s="12"/>
      <c r="D172" s="3"/>
      <c r="E172" s="3"/>
      <c r="F172" s="3"/>
      <c r="G172" s="10"/>
      <c r="H172" s="10"/>
      <c r="I172" s="15"/>
      <c r="J172" s="15"/>
    </row>
    <row r="173" spans="2:10" x14ac:dyDescent="0.35">
      <c r="B173" s="12"/>
      <c r="C173" s="12"/>
      <c r="D173" s="3"/>
      <c r="E173" s="3"/>
      <c r="F173" s="3"/>
      <c r="G173" s="10"/>
      <c r="H173" s="10"/>
      <c r="I173" s="15"/>
      <c r="J173" s="15"/>
    </row>
    <row r="174" spans="2:10" x14ac:dyDescent="0.35">
      <c r="B174" s="12"/>
      <c r="C174" s="12"/>
      <c r="D174" s="3"/>
      <c r="E174" s="3"/>
      <c r="F174" s="3"/>
      <c r="G174" s="10"/>
      <c r="H174" s="10"/>
      <c r="I174" s="15"/>
      <c r="J174" s="15"/>
    </row>
    <row r="175" spans="2:10" x14ac:dyDescent="0.35">
      <c r="B175" s="12"/>
      <c r="C175" s="12"/>
      <c r="D175" s="3"/>
      <c r="E175" s="3"/>
      <c r="F175" s="3"/>
      <c r="G175" s="10"/>
      <c r="H175" s="10"/>
      <c r="I175" s="15"/>
      <c r="J175" s="15"/>
    </row>
    <row r="176" spans="2:10" x14ac:dyDescent="0.35">
      <c r="B176" s="12"/>
      <c r="C176" s="12"/>
      <c r="D176" s="3"/>
      <c r="E176" s="3"/>
      <c r="F176" s="3"/>
      <c r="G176" s="10"/>
      <c r="H176" s="10"/>
      <c r="I176" s="15"/>
      <c r="J176" s="15"/>
    </row>
    <row r="177" spans="2:10" x14ac:dyDescent="0.35">
      <c r="B177" s="12"/>
      <c r="C177" s="12"/>
      <c r="D177" s="3"/>
      <c r="E177" s="3"/>
      <c r="F177" s="3"/>
      <c r="G177" s="10"/>
      <c r="H177" s="10"/>
      <c r="I177" s="15"/>
      <c r="J177" s="15"/>
    </row>
    <row r="178" spans="2:10" x14ac:dyDescent="0.35">
      <c r="B178" s="12"/>
      <c r="C178" s="12"/>
      <c r="D178" s="3"/>
      <c r="E178" s="3"/>
      <c r="F178" s="3"/>
      <c r="G178" s="10"/>
      <c r="H178" s="10"/>
      <c r="I178" s="15"/>
      <c r="J178" s="15"/>
    </row>
    <row r="179" spans="2:10" x14ac:dyDescent="0.35">
      <c r="B179" s="12"/>
      <c r="C179" s="12"/>
      <c r="D179" s="3"/>
      <c r="E179" s="3"/>
      <c r="F179" s="3"/>
      <c r="G179" s="10"/>
      <c r="H179" s="10"/>
      <c r="I179" s="15"/>
      <c r="J179" s="15"/>
    </row>
    <row r="180" spans="2:10" x14ac:dyDescent="0.35">
      <c r="B180" s="12"/>
      <c r="C180" s="12"/>
      <c r="D180" s="3"/>
      <c r="E180" s="3"/>
      <c r="F180" s="3"/>
      <c r="G180" s="10"/>
      <c r="H180" s="10"/>
      <c r="I180" s="15"/>
      <c r="J180" s="15"/>
    </row>
    <row r="181" spans="2:10" x14ac:dyDescent="0.35">
      <c r="B181" s="12"/>
      <c r="C181" s="12"/>
      <c r="D181" s="3"/>
      <c r="E181" s="3"/>
      <c r="F181" s="3"/>
      <c r="G181" s="10"/>
      <c r="H181" s="10"/>
      <c r="I181" s="15"/>
      <c r="J181" s="15"/>
    </row>
    <row r="182" spans="2:10" x14ac:dyDescent="0.35">
      <c r="B182" s="12"/>
      <c r="C182" s="12"/>
      <c r="D182" s="3"/>
      <c r="E182" s="3"/>
      <c r="F182" s="3"/>
      <c r="G182" s="10"/>
      <c r="H182" s="10"/>
      <c r="I182" s="15"/>
      <c r="J182" s="15"/>
    </row>
    <row r="183" spans="2:10" x14ac:dyDescent="0.35">
      <c r="B183" s="12"/>
      <c r="C183" s="12"/>
      <c r="D183" s="3"/>
      <c r="E183" s="3"/>
      <c r="F183" s="3"/>
      <c r="G183" s="10"/>
      <c r="H183" s="10"/>
      <c r="I183" s="15"/>
      <c r="J183" s="15"/>
    </row>
    <row r="184" spans="2:10" x14ac:dyDescent="0.35">
      <c r="B184" s="12"/>
      <c r="C184" s="12"/>
      <c r="D184" s="3"/>
      <c r="E184" s="3"/>
      <c r="F184" s="3"/>
      <c r="G184" s="10"/>
      <c r="H184" s="10"/>
      <c r="I184" s="15"/>
      <c r="J184" s="15"/>
    </row>
    <row r="185" spans="2:10" x14ac:dyDescent="0.35">
      <c r="B185" s="12"/>
      <c r="C185" s="12"/>
      <c r="D185" s="3"/>
      <c r="E185" s="3"/>
      <c r="F185" s="3"/>
      <c r="G185" s="10"/>
      <c r="H185" s="10"/>
      <c r="I185" s="15"/>
      <c r="J185" s="15"/>
    </row>
    <row r="186" spans="2:10" x14ac:dyDescent="0.35">
      <c r="B186" s="12"/>
      <c r="C186" s="12"/>
      <c r="D186" s="3"/>
      <c r="E186" s="3"/>
      <c r="F186" s="3"/>
      <c r="G186" s="10"/>
      <c r="H186" s="10"/>
      <c r="I186" s="15"/>
      <c r="J186" s="15"/>
    </row>
    <row r="187" spans="2:10" x14ac:dyDescent="0.35">
      <c r="B187" s="12"/>
      <c r="C187" s="12"/>
      <c r="D187" s="3"/>
      <c r="E187" s="3"/>
      <c r="F187" s="3"/>
      <c r="G187" s="10"/>
      <c r="H187" s="10"/>
      <c r="I187" s="15"/>
      <c r="J187" s="15"/>
    </row>
    <row r="188" spans="2:10" x14ac:dyDescent="0.35">
      <c r="B188" s="12"/>
      <c r="C188" s="12"/>
      <c r="D188" s="3"/>
      <c r="E188" s="3"/>
      <c r="F188" s="3"/>
      <c r="G188" s="10"/>
      <c r="H188" s="10"/>
      <c r="I188" s="15"/>
      <c r="J188" s="15"/>
    </row>
    <row r="189" spans="2:10" x14ac:dyDescent="0.35">
      <c r="B189" s="12"/>
      <c r="C189" s="12"/>
      <c r="D189" s="3"/>
      <c r="E189" s="3"/>
      <c r="F189" s="3"/>
      <c r="G189" s="10"/>
      <c r="H189" s="10"/>
      <c r="I189" s="15"/>
      <c r="J189" s="15"/>
    </row>
    <row r="190" spans="2:10" x14ac:dyDescent="0.35">
      <c r="B190" s="12"/>
      <c r="C190" s="12"/>
      <c r="D190" s="3"/>
      <c r="E190" s="3"/>
      <c r="F190" s="3"/>
      <c r="G190" s="10"/>
      <c r="H190" s="10"/>
      <c r="I190" s="15"/>
      <c r="J190" s="15"/>
    </row>
    <row r="191" spans="2:10" x14ac:dyDescent="0.35">
      <c r="B191" s="12"/>
      <c r="C191" s="12"/>
      <c r="D191" s="3"/>
      <c r="E191" s="3"/>
      <c r="F191" s="3"/>
      <c r="G191" s="10"/>
      <c r="H191" s="10"/>
      <c r="I191" s="15"/>
      <c r="J191" s="15"/>
    </row>
    <row r="192" spans="2:10" x14ac:dyDescent="0.35">
      <c r="B192" s="12"/>
      <c r="C192" s="12"/>
      <c r="D192" s="3"/>
      <c r="E192" s="3"/>
      <c r="F192" s="3"/>
      <c r="G192" s="10"/>
      <c r="H192" s="10"/>
      <c r="I192" s="15"/>
      <c r="J192" s="15"/>
    </row>
    <row r="193" spans="2:10" x14ac:dyDescent="0.35">
      <c r="B193" s="12"/>
      <c r="C193" s="12"/>
      <c r="D193" s="3"/>
      <c r="E193" s="3"/>
      <c r="F193" s="3"/>
      <c r="G193" s="10"/>
      <c r="H193" s="10"/>
      <c r="I193" s="15"/>
      <c r="J193" s="15"/>
    </row>
    <row r="194" spans="2:10" x14ac:dyDescent="0.35">
      <c r="B194" s="12"/>
      <c r="C194" s="12"/>
      <c r="D194" s="3"/>
      <c r="E194" s="3"/>
      <c r="F194" s="3"/>
      <c r="G194" s="10"/>
      <c r="H194" s="10"/>
      <c r="I194" s="15"/>
      <c r="J194" s="15"/>
    </row>
    <row r="195" spans="2:10" x14ac:dyDescent="0.35">
      <c r="B195" s="12"/>
      <c r="C195" s="12"/>
      <c r="D195" s="3"/>
      <c r="E195" s="3"/>
      <c r="F195" s="3"/>
      <c r="G195" s="10"/>
      <c r="H195" s="10"/>
      <c r="I195" s="15"/>
      <c r="J195" s="15"/>
    </row>
    <row r="196" spans="2:10" x14ac:dyDescent="0.35">
      <c r="B196" s="12"/>
      <c r="C196" s="12"/>
      <c r="D196" s="3"/>
      <c r="E196" s="3"/>
      <c r="F196" s="3"/>
      <c r="G196" s="10"/>
      <c r="H196" s="10"/>
      <c r="I196" s="15"/>
      <c r="J196" s="15"/>
    </row>
    <row r="197" spans="2:10" x14ac:dyDescent="0.35">
      <c r="B197" s="12"/>
      <c r="C197" s="12"/>
      <c r="D197" s="3"/>
      <c r="E197" s="3"/>
      <c r="F197" s="3"/>
      <c r="G197" s="10"/>
      <c r="H197" s="10"/>
      <c r="I197" s="15"/>
      <c r="J197" s="15"/>
    </row>
    <row r="198" spans="2:10" x14ac:dyDescent="0.35">
      <c r="B198" s="12"/>
      <c r="C198" s="12"/>
      <c r="D198" s="3"/>
      <c r="E198" s="3"/>
      <c r="F198" s="3"/>
      <c r="G198" s="10"/>
      <c r="H198" s="10"/>
      <c r="I198" s="15"/>
      <c r="J198" s="15"/>
    </row>
    <row r="199" spans="2:10" x14ac:dyDescent="0.35">
      <c r="B199" s="12"/>
      <c r="C199" s="12"/>
      <c r="D199" s="3"/>
      <c r="E199" s="3"/>
      <c r="F199" s="3"/>
      <c r="G199" s="10"/>
      <c r="H199" s="10"/>
      <c r="I199" s="15"/>
      <c r="J199" s="15"/>
    </row>
    <row r="200" spans="2:10" x14ac:dyDescent="0.35">
      <c r="B200" s="12"/>
      <c r="C200" s="12"/>
      <c r="D200" s="3"/>
      <c r="E200" s="3"/>
      <c r="F200" s="3"/>
      <c r="G200" s="10"/>
      <c r="H200" s="10"/>
      <c r="I200" s="15"/>
      <c r="J200" s="15"/>
    </row>
    <row r="201" spans="2:10" x14ac:dyDescent="0.35">
      <c r="B201" s="12"/>
      <c r="C201" s="12"/>
      <c r="D201" s="3"/>
      <c r="E201" s="3"/>
      <c r="F201" s="3"/>
      <c r="G201" s="10"/>
      <c r="H201" s="10"/>
      <c r="I201" s="15"/>
      <c r="J201" s="15"/>
    </row>
    <row r="202" spans="2:10" x14ac:dyDescent="0.35">
      <c r="B202" s="12"/>
      <c r="C202" s="12"/>
      <c r="D202" s="3"/>
      <c r="E202" s="3"/>
      <c r="F202" s="3"/>
      <c r="G202" s="10"/>
      <c r="H202" s="10"/>
      <c r="I202" s="15"/>
      <c r="J202" s="15"/>
    </row>
    <row r="203" spans="2:10" x14ac:dyDescent="0.35">
      <c r="B203" s="12"/>
      <c r="C203" s="12"/>
      <c r="D203" s="3"/>
      <c r="E203" s="3"/>
      <c r="F203" s="3"/>
      <c r="G203" s="10"/>
      <c r="H203" s="10"/>
      <c r="I203" s="15"/>
      <c r="J203" s="15"/>
    </row>
    <row r="204" spans="2:10" x14ac:dyDescent="0.35">
      <c r="B204" s="12"/>
      <c r="C204" s="12"/>
      <c r="D204" s="3"/>
      <c r="E204" s="3"/>
      <c r="F204" s="3"/>
      <c r="G204" s="10"/>
      <c r="H204" s="10"/>
      <c r="I204" s="15"/>
      <c r="J204" s="15"/>
    </row>
    <row r="205" spans="2:10" x14ac:dyDescent="0.35">
      <c r="B205" s="12"/>
      <c r="C205" s="12"/>
      <c r="D205" s="3"/>
      <c r="E205" s="3"/>
      <c r="F205" s="3"/>
      <c r="G205" s="10"/>
      <c r="H205" s="10"/>
      <c r="I205" s="15"/>
      <c r="J205" s="15"/>
    </row>
    <row r="206" spans="2:10" x14ac:dyDescent="0.35">
      <c r="B206" s="12"/>
      <c r="C206" s="12"/>
      <c r="D206" s="3"/>
      <c r="E206" s="3"/>
      <c r="F206" s="3"/>
      <c r="G206" s="10"/>
      <c r="H206" s="10"/>
      <c r="I206" s="15"/>
      <c r="J206" s="15"/>
    </row>
    <row r="207" spans="2:10" x14ac:dyDescent="0.35">
      <c r="B207" s="12"/>
      <c r="C207" s="12"/>
      <c r="D207" s="3"/>
      <c r="E207" s="3"/>
      <c r="F207" s="3"/>
      <c r="G207" s="10"/>
      <c r="H207" s="10"/>
      <c r="I207" s="15"/>
      <c r="J207" s="15"/>
    </row>
    <row r="208" spans="2:10" x14ac:dyDescent="0.35">
      <c r="B208" s="12"/>
      <c r="C208" s="12"/>
      <c r="D208" s="3"/>
      <c r="E208" s="3"/>
      <c r="F208" s="3"/>
      <c r="G208" s="10"/>
      <c r="H208" s="10"/>
      <c r="I208" s="15"/>
      <c r="J208" s="15"/>
    </row>
    <row r="209" spans="2:10" x14ac:dyDescent="0.35">
      <c r="B209" s="12"/>
      <c r="C209" s="12"/>
      <c r="D209" s="3"/>
      <c r="E209" s="3"/>
      <c r="F209" s="3"/>
      <c r="G209" s="10"/>
      <c r="H209" s="10"/>
      <c r="I209" s="15"/>
      <c r="J209" s="15"/>
    </row>
    <row r="210" spans="2:10" x14ac:dyDescent="0.35">
      <c r="B210" s="12"/>
      <c r="C210" s="12"/>
      <c r="D210" s="3"/>
      <c r="E210" s="3"/>
      <c r="F210" s="3"/>
      <c r="G210" s="10"/>
      <c r="H210" s="10"/>
      <c r="I210" s="15"/>
      <c r="J210" s="15"/>
    </row>
    <row r="211" spans="2:10" x14ac:dyDescent="0.35">
      <c r="B211" s="12"/>
      <c r="C211" s="12"/>
      <c r="D211" s="3"/>
      <c r="E211" s="3"/>
      <c r="F211" s="3"/>
      <c r="G211" s="10"/>
      <c r="H211" s="10"/>
      <c r="I211" s="15"/>
      <c r="J211" s="15"/>
    </row>
    <row r="212" spans="2:10" x14ac:dyDescent="0.35">
      <c r="B212" s="12"/>
      <c r="C212" s="12"/>
      <c r="D212" s="3"/>
      <c r="E212" s="3"/>
      <c r="F212" s="3"/>
      <c r="G212" s="10"/>
      <c r="H212" s="10"/>
      <c r="I212" s="15"/>
      <c r="J212" s="15"/>
    </row>
    <row r="213" spans="2:10" x14ac:dyDescent="0.35">
      <c r="B213" s="12"/>
      <c r="C213" s="12"/>
      <c r="D213" s="3"/>
      <c r="E213" s="3"/>
      <c r="F213" s="3"/>
      <c r="G213" s="10"/>
      <c r="H213" s="10"/>
      <c r="I213" s="15"/>
      <c r="J213" s="15"/>
    </row>
    <row r="214" spans="2:10" x14ac:dyDescent="0.35">
      <c r="B214" s="12"/>
      <c r="C214" s="12"/>
      <c r="D214" s="3"/>
      <c r="E214" s="3"/>
      <c r="F214" s="3"/>
      <c r="G214" s="10"/>
      <c r="H214" s="10"/>
      <c r="I214" s="15"/>
      <c r="J214" s="15"/>
    </row>
    <row r="215" spans="2:10" x14ac:dyDescent="0.35">
      <c r="B215" s="12"/>
      <c r="C215" s="12"/>
      <c r="D215" s="3"/>
      <c r="E215" s="3"/>
      <c r="F215" s="3"/>
      <c r="G215" s="10"/>
      <c r="H215" s="10"/>
      <c r="I215" s="15"/>
      <c r="J215" s="15"/>
    </row>
    <row r="216" spans="2:10" x14ac:dyDescent="0.35">
      <c r="B216" s="12"/>
      <c r="C216" s="12"/>
      <c r="D216" s="3"/>
      <c r="E216" s="3"/>
      <c r="F216" s="3"/>
      <c r="G216" s="10"/>
      <c r="H216" s="10"/>
      <c r="I216" s="15"/>
      <c r="J216" s="15"/>
    </row>
    <row r="217" spans="2:10" x14ac:dyDescent="0.35">
      <c r="B217" s="12"/>
      <c r="C217" s="12"/>
      <c r="D217" s="3"/>
      <c r="E217" s="3"/>
      <c r="F217" s="3"/>
      <c r="G217" s="10"/>
      <c r="H217" s="10"/>
      <c r="I217" s="15"/>
      <c r="J217" s="15"/>
    </row>
    <row r="218" spans="2:10" x14ac:dyDescent="0.35">
      <c r="B218" s="12"/>
      <c r="C218" s="12"/>
      <c r="D218" s="3"/>
      <c r="E218" s="3"/>
      <c r="F218" s="3"/>
      <c r="G218" s="10"/>
      <c r="H218" s="10"/>
      <c r="I218" s="15"/>
      <c r="J218" s="15"/>
    </row>
    <row r="219" spans="2:10" x14ac:dyDescent="0.35">
      <c r="B219" s="12"/>
      <c r="C219" s="12"/>
      <c r="D219" s="3"/>
      <c r="E219" s="3"/>
      <c r="F219" s="3"/>
      <c r="G219" s="10"/>
      <c r="H219" s="10"/>
      <c r="I219" s="15"/>
      <c r="J219" s="15"/>
    </row>
    <row r="220" spans="2:10" x14ac:dyDescent="0.35">
      <c r="B220" s="12"/>
      <c r="C220" s="12"/>
      <c r="D220" s="3"/>
      <c r="E220" s="3"/>
      <c r="F220" s="3"/>
      <c r="G220" s="10"/>
      <c r="H220" s="10"/>
      <c r="I220" s="15"/>
      <c r="J220" s="15"/>
    </row>
    <row r="221" spans="2:10" x14ac:dyDescent="0.35">
      <c r="B221" s="12"/>
      <c r="C221" s="12"/>
      <c r="D221" s="3"/>
      <c r="E221" s="3"/>
      <c r="F221" s="3"/>
      <c r="G221" s="10"/>
      <c r="H221" s="10"/>
      <c r="I221" s="15"/>
      <c r="J221" s="15"/>
    </row>
    <row r="222" spans="2:10" x14ac:dyDescent="0.35">
      <c r="B222" s="12"/>
      <c r="C222" s="12"/>
      <c r="D222" s="3"/>
      <c r="E222" s="3"/>
      <c r="F222" s="3"/>
      <c r="G222" s="10"/>
      <c r="H222" s="10"/>
      <c r="I222" s="15"/>
      <c r="J222" s="15"/>
    </row>
    <row r="223" spans="2:10" x14ac:dyDescent="0.35">
      <c r="B223" s="12"/>
      <c r="C223" s="12"/>
      <c r="D223" s="3"/>
      <c r="E223" s="3"/>
      <c r="F223" s="3"/>
      <c r="G223" s="10"/>
      <c r="H223" s="10"/>
      <c r="I223" s="15"/>
      <c r="J223" s="15"/>
    </row>
    <row r="224" spans="2:10" x14ac:dyDescent="0.35">
      <c r="B224" s="12"/>
      <c r="C224" s="12"/>
      <c r="D224" s="3"/>
      <c r="E224" s="3"/>
      <c r="F224" s="3"/>
      <c r="G224" s="10"/>
      <c r="H224" s="10"/>
      <c r="I224" s="15"/>
      <c r="J224" s="15"/>
    </row>
    <row r="225" spans="2:10" x14ac:dyDescent="0.35">
      <c r="B225" s="12"/>
      <c r="C225" s="12"/>
      <c r="D225" s="3"/>
      <c r="E225" s="3"/>
      <c r="F225" s="3"/>
      <c r="G225" s="10"/>
      <c r="H225" s="10"/>
      <c r="I225" s="15"/>
      <c r="J225" s="15"/>
    </row>
    <row r="226" spans="2:10" x14ac:dyDescent="0.35">
      <c r="B226" s="12"/>
      <c r="C226" s="12"/>
      <c r="D226" s="3"/>
      <c r="E226" s="3"/>
      <c r="F226" s="3"/>
      <c r="G226" s="10"/>
      <c r="H226" s="10"/>
      <c r="I226" s="15"/>
      <c r="J226" s="15"/>
    </row>
    <row r="227" spans="2:10" x14ac:dyDescent="0.35">
      <c r="B227" s="12"/>
      <c r="C227" s="12"/>
      <c r="D227" s="3"/>
      <c r="E227" s="3"/>
      <c r="F227" s="3"/>
      <c r="G227" s="10"/>
      <c r="H227" s="10"/>
      <c r="I227" s="15"/>
      <c r="J227" s="15"/>
    </row>
    <row r="228" spans="2:10" x14ac:dyDescent="0.35">
      <c r="B228" s="12"/>
      <c r="C228" s="12"/>
      <c r="D228" s="3"/>
      <c r="E228" s="3"/>
      <c r="F228" s="3"/>
      <c r="G228" s="10"/>
      <c r="H228" s="10"/>
      <c r="I228" s="15"/>
      <c r="J228" s="15"/>
    </row>
    <row r="229" spans="2:10" x14ac:dyDescent="0.35">
      <c r="B229" s="12"/>
      <c r="C229" s="12"/>
      <c r="D229" s="3"/>
      <c r="E229" s="3"/>
      <c r="F229" s="3"/>
      <c r="G229" s="10"/>
      <c r="H229" s="10"/>
      <c r="I229" s="15"/>
      <c r="J229" s="15"/>
    </row>
    <row r="230" spans="2:10" x14ac:dyDescent="0.35">
      <c r="B230" s="12"/>
      <c r="C230" s="12"/>
      <c r="D230" s="3"/>
      <c r="E230" s="3"/>
      <c r="F230" s="3"/>
      <c r="G230" s="10"/>
      <c r="H230" s="10"/>
      <c r="I230" s="15"/>
      <c r="J230" s="15"/>
    </row>
    <row r="231" spans="2:10" x14ac:dyDescent="0.35">
      <c r="B231" s="12"/>
      <c r="C231" s="12"/>
      <c r="D231" s="3"/>
      <c r="E231" s="3"/>
      <c r="F231" s="3"/>
      <c r="G231" s="10"/>
      <c r="H231" s="10"/>
      <c r="I231" s="15"/>
      <c r="J231" s="15"/>
    </row>
    <row r="232" spans="2:10" x14ac:dyDescent="0.35">
      <c r="B232" s="12"/>
      <c r="C232" s="12"/>
      <c r="D232" s="3"/>
      <c r="E232" s="3"/>
      <c r="F232" s="3"/>
      <c r="G232" s="10"/>
      <c r="H232" s="10"/>
      <c r="I232" s="15"/>
      <c r="J232" s="15"/>
    </row>
    <row r="233" spans="2:10" x14ac:dyDescent="0.35">
      <c r="B233" s="12"/>
      <c r="C233" s="12"/>
      <c r="D233" s="3"/>
      <c r="E233" s="3"/>
      <c r="F233" s="3"/>
      <c r="G233" s="10"/>
      <c r="H233" s="10"/>
      <c r="I233" s="15"/>
      <c r="J233" s="15"/>
    </row>
    <row r="234" spans="2:10" x14ac:dyDescent="0.35">
      <c r="B234" s="12"/>
      <c r="C234" s="12"/>
      <c r="D234" s="3"/>
      <c r="E234" s="3"/>
      <c r="F234" s="3"/>
      <c r="G234" s="10"/>
      <c r="H234" s="10"/>
      <c r="I234" s="15"/>
      <c r="J234" s="15"/>
    </row>
    <row r="235" spans="2:10" x14ac:dyDescent="0.35">
      <c r="B235" s="12"/>
      <c r="C235" s="12"/>
      <c r="D235" s="3"/>
      <c r="E235" s="3"/>
      <c r="F235" s="3"/>
      <c r="G235" s="10"/>
      <c r="H235" s="10"/>
      <c r="I235" s="15"/>
      <c r="J235" s="15"/>
    </row>
    <row r="236" spans="2:10" x14ac:dyDescent="0.35">
      <c r="B236" s="12"/>
      <c r="C236" s="12"/>
      <c r="D236" s="3"/>
      <c r="E236" s="3"/>
      <c r="F236" s="3"/>
      <c r="G236" s="10"/>
      <c r="H236" s="10"/>
      <c r="I236" s="15"/>
      <c r="J236" s="15"/>
    </row>
    <row r="237" spans="2:10" x14ac:dyDescent="0.35">
      <c r="B237" s="12"/>
      <c r="C237" s="12"/>
      <c r="D237" s="3"/>
      <c r="E237" s="3"/>
      <c r="F237" s="3"/>
      <c r="G237" s="10"/>
      <c r="H237" s="10"/>
      <c r="I237" s="15"/>
      <c r="J237" s="15"/>
    </row>
    <row r="238" spans="2:10" x14ac:dyDescent="0.35">
      <c r="B238" s="12"/>
      <c r="C238" s="12"/>
      <c r="D238" s="3"/>
      <c r="E238" s="3"/>
      <c r="F238" s="3"/>
      <c r="G238" s="10"/>
      <c r="H238" s="10"/>
      <c r="I238" s="15"/>
      <c r="J238" s="15"/>
    </row>
    <row r="239" spans="2:10" x14ac:dyDescent="0.35">
      <c r="B239" s="12"/>
      <c r="C239" s="12"/>
      <c r="D239" s="3"/>
      <c r="E239" s="3"/>
      <c r="F239" s="3"/>
      <c r="G239" s="10"/>
      <c r="H239" s="10"/>
      <c r="I239" s="15"/>
      <c r="J239" s="15"/>
    </row>
    <row r="240" spans="2:10" x14ac:dyDescent="0.35">
      <c r="B240" s="13"/>
      <c r="C240" s="13"/>
      <c r="D240" s="4"/>
      <c r="E240" s="4"/>
      <c r="F240" s="4"/>
      <c r="G240" s="11"/>
      <c r="H240" s="11"/>
      <c r="I240" s="16"/>
      <c r="J240" s="16"/>
    </row>
    <row r="241" spans="3:3" x14ac:dyDescent="0.35">
      <c r="C241" s="14"/>
    </row>
    <row r="242" spans="3:3" x14ac:dyDescent="0.35">
      <c r="C242" s="14"/>
    </row>
    <row r="243" spans="3:3" x14ac:dyDescent="0.35">
      <c r="C243" s="14"/>
    </row>
    <row r="244" spans="3:3" x14ac:dyDescent="0.35">
      <c r="C244" s="14"/>
    </row>
    <row r="245" spans="3:3" x14ac:dyDescent="0.35">
      <c r="C245" s="14"/>
    </row>
    <row r="246" spans="3:3" x14ac:dyDescent="0.35">
      <c r="C246" s="14"/>
    </row>
    <row r="247" spans="3:3" x14ac:dyDescent="0.35">
      <c r="C247" s="14"/>
    </row>
    <row r="248" spans="3:3" x14ac:dyDescent="0.35">
      <c r="C248" s="14"/>
    </row>
    <row r="249" spans="3:3" x14ac:dyDescent="0.35">
      <c r="C249" s="14"/>
    </row>
    <row r="250" spans="3:3" x14ac:dyDescent="0.35">
      <c r="C250" s="14"/>
    </row>
    <row r="251" spans="3:3" x14ac:dyDescent="0.35">
      <c r="C251" s="14"/>
    </row>
    <row r="252" spans="3:3" x14ac:dyDescent="0.35">
      <c r="C252" s="14"/>
    </row>
    <row r="253" spans="3:3" x14ac:dyDescent="0.35">
      <c r="C253" s="14"/>
    </row>
    <row r="254" spans="3:3" x14ac:dyDescent="0.35">
      <c r="C254" s="14"/>
    </row>
    <row r="255" spans="3:3" x14ac:dyDescent="0.35">
      <c r="C255" s="14"/>
    </row>
  </sheetData>
  <autoFilter ref="A1:J127" xr:uid="{CC159656-4E28-4706-88D4-E4E250E7C5FC}"/>
  <conditionalFormatting sqref="G2:G127">
    <cfRule type="cellIs" dxfId="101" priority="4" operator="greaterThanOrEqual">
      <formula>0.95</formula>
    </cfRule>
    <cfRule type="cellIs" dxfId="100" priority="5" operator="between">
      <formula>0.76</formula>
      <formula>0.95</formula>
    </cfRule>
    <cfRule type="cellIs" dxfId="99" priority="6" operator="lessThan">
      <formula>0.76</formula>
    </cfRule>
  </conditionalFormatting>
  <conditionalFormatting sqref="H2:H127">
    <cfRule type="cellIs" dxfId="98" priority="1" operator="greaterThanOrEqual">
      <formula>0.95</formula>
    </cfRule>
    <cfRule type="cellIs" dxfId="97" priority="2" operator="between">
      <formula>0.76</formula>
      <formula>0.95</formula>
    </cfRule>
    <cfRule type="cellIs" dxfId="96" priority="3" operator="lessThan">
      <formula>0.76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5CF0-16C0-4270-BBB7-641DAAD21D2B}">
  <sheetPr>
    <tabColor rgb="FF002060"/>
  </sheetPr>
  <dimension ref="A1:G9"/>
  <sheetViews>
    <sheetView workbookViewId="0">
      <selection activeCell="E15" sqref="E15"/>
    </sheetView>
  </sheetViews>
  <sheetFormatPr defaultRowHeight="14.5" x14ac:dyDescent="0.35"/>
  <cols>
    <col min="1" max="1" width="27.1796875" customWidth="1"/>
    <col min="5" max="5" width="16.08984375" customWidth="1"/>
    <col min="6" max="6" width="16.54296875" customWidth="1"/>
    <col min="7" max="7" width="18.1796875" customWidth="1"/>
  </cols>
  <sheetData>
    <row r="1" spans="1:7" ht="24" thickBot="1" x14ac:dyDescent="0.6">
      <c r="A1" s="44" t="s">
        <v>104</v>
      </c>
      <c r="B1" s="45"/>
      <c r="C1" s="45"/>
      <c r="D1" s="45"/>
      <c r="E1" s="45"/>
      <c r="F1" s="45"/>
      <c r="G1" s="46"/>
    </row>
    <row r="2" spans="1:7" x14ac:dyDescent="0.35">
      <c r="A2" s="21" t="s">
        <v>105</v>
      </c>
      <c r="B2" s="36">
        <v>46023</v>
      </c>
      <c r="C2" s="36">
        <v>46054</v>
      </c>
      <c r="D2" s="36">
        <v>46082</v>
      </c>
      <c r="E2" s="22" t="s">
        <v>106</v>
      </c>
      <c r="F2" s="36" t="s">
        <v>112</v>
      </c>
      <c r="G2" s="23" t="s">
        <v>113</v>
      </c>
    </row>
    <row r="3" spans="1:7" x14ac:dyDescent="0.35">
      <c r="A3" s="37" t="s">
        <v>107</v>
      </c>
      <c r="B3" s="25">
        <f>SUMIF('RAW DATA'!A:A,"January 2026",'RAW DATA'!D:D)</f>
        <v>2320266</v>
      </c>
      <c r="C3" s="25">
        <f>SUMIF('RAW DATA'!A:A,"Feb 2026",'RAW DATA'!D:D)</f>
        <v>2117450</v>
      </c>
      <c r="D3" s="25">
        <f>SUMIF('RAW DATA'!A:A,"Mar 2026",'RAW DATA'!D:D)</f>
        <v>2432253</v>
      </c>
      <c r="E3" s="25">
        <f>SUM(B3:D3)</f>
        <v>6869969</v>
      </c>
      <c r="F3" s="38">
        <f t="shared" ref="F3:F9" si="0">C3-B3</f>
        <v>-202816</v>
      </c>
      <c r="G3" s="39">
        <f t="shared" ref="G3:G5" si="1">D3-C3</f>
        <v>314803</v>
      </c>
    </row>
    <row r="4" spans="1:7" x14ac:dyDescent="0.35">
      <c r="A4" s="37" t="s">
        <v>108</v>
      </c>
      <c r="B4" s="25">
        <f>SUMIF('RAW DATA'!A:A,"January 2026",'RAW DATA'!E:E)</f>
        <v>1681284</v>
      </c>
      <c r="C4" s="25">
        <f>SUMIF('RAW DATA'!A:A,"Feb2026",'RAW DATA'!E:E)</f>
        <v>1568084</v>
      </c>
      <c r="D4" s="25">
        <f>SUMIF('RAW DATA'!A:A,"March 2026",'RAW DATA'!E:E)</f>
        <v>1875443</v>
      </c>
      <c r="E4" s="25">
        <f>SUM(B4:D4)</f>
        <v>5124811</v>
      </c>
      <c r="F4" s="38">
        <f t="shared" si="0"/>
        <v>-113200</v>
      </c>
      <c r="G4" s="39">
        <f t="shared" si="1"/>
        <v>307359</v>
      </c>
    </row>
    <row r="5" spans="1:7" x14ac:dyDescent="0.35">
      <c r="A5" s="37" t="s">
        <v>109</v>
      </c>
      <c r="B5" s="25">
        <f>SUMIF('RAW DATA'!A:A,"January 2026",'RAW DATA'!F:F)</f>
        <v>638982</v>
      </c>
      <c r="C5" s="25">
        <f>SUMIF('RAW DATA'!A:A,"Feb 2026",'RAW DATA'!F:F)</f>
        <v>549366</v>
      </c>
      <c r="D5" s="25">
        <f>SUMIF('RAW DATA'!A:A,"Mar2026",'RAW DATA'!F:F)</f>
        <v>556810</v>
      </c>
      <c r="E5" s="25">
        <f>SUM(B5:D5)</f>
        <v>1745158</v>
      </c>
      <c r="F5" s="38">
        <f t="shared" si="0"/>
        <v>-89616</v>
      </c>
      <c r="G5" s="39">
        <f t="shared" si="1"/>
        <v>7444</v>
      </c>
    </row>
    <row r="6" spans="1:7" x14ac:dyDescent="0.35">
      <c r="A6" s="37" t="s">
        <v>110</v>
      </c>
      <c r="B6" s="26">
        <f>AVERAGEIF('RAW DATA'!A:A,"January 2026",'RAW DATA'!G:G)</f>
        <v>0.71412932782298122</v>
      </c>
      <c r="C6" s="26">
        <f>AVERAGEIF('RAW DATA'!A:A,"Feb 2026",'RAW DATA'!G:G)</f>
        <v>0.73004077907792719</v>
      </c>
      <c r="D6" s="26">
        <f>AVERAGEIF('RAW DATA'!A:A,"March2026",'RAW DATA'!G:G)</f>
        <v>0.76032868940907239</v>
      </c>
      <c r="E6" s="26">
        <f>AVERAGE(B6:D6)</f>
        <v>0.7348329321033269</v>
      </c>
      <c r="F6" s="27">
        <f t="shared" si="0"/>
        <v>1.5911451254945974E-2</v>
      </c>
      <c r="G6" s="40">
        <f>D6-C6</f>
        <v>3.0287910331145196E-2</v>
      </c>
    </row>
    <row r="7" spans="1:7" x14ac:dyDescent="0.35">
      <c r="A7" s="37" t="s">
        <v>111</v>
      </c>
      <c r="B7" s="26">
        <f>AVERAGEIF('RAW DATA'!A:A,"January 2026",'RAW DATA'!H:H)</f>
        <v>0.56047076301325749</v>
      </c>
      <c r="C7" s="26">
        <f>AVERAGEIF('RAW DATA'!A:A,"Feb2026",'RAW DATA'!H:H)</f>
        <v>0.58111948521970325</v>
      </c>
      <c r="D7" s="26">
        <f>AVERAGEIF('RAW DATA'!A:A,"Mar 2026",'RAW DATA'!H:H)</f>
        <v>0.62751582263346783</v>
      </c>
      <c r="E7" s="26">
        <f>AVERAGE(B7:D7)</f>
        <v>0.58970202362214286</v>
      </c>
      <c r="F7" s="27">
        <f t="shared" si="0"/>
        <v>2.0648722206445758E-2</v>
      </c>
      <c r="G7" s="40">
        <f>D7-C7</f>
        <v>4.6396337413764588E-2</v>
      </c>
    </row>
    <row r="8" spans="1:7" x14ac:dyDescent="0.35">
      <c r="A8" s="37" t="s">
        <v>103</v>
      </c>
      <c r="B8" s="25">
        <f>SUMIF('RAW DATA'!A:A,"January 2026",'RAW DATA'!I:I)</f>
        <v>546136</v>
      </c>
      <c r="C8" s="25">
        <f>SUMIF('RAW DATA'!A:A,"Feb 2026",'RAW DATA'!I:I)</f>
        <v>493015</v>
      </c>
      <c r="D8" s="25">
        <f>SUMIF('RAW DATA'!A:A,"mar 2026",'RAW DATA'!I:I)</f>
        <v>553892</v>
      </c>
      <c r="E8" s="25">
        <f>SUM(B8:D8)</f>
        <v>1593043</v>
      </c>
      <c r="F8" s="38">
        <f t="shared" si="0"/>
        <v>-53121</v>
      </c>
      <c r="G8" s="39">
        <f>D8-C8</f>
        <v>60877</v>
      </c>
    </row>
    <row r="9" spans="1:7" ht="15" thickBot="1" x14ac:dyDescent="0.4">
      <c r="A9" s="41" t="s">
        <v>18</v>
      </c>
      <c r="B9" s="30">
        <f>SUMIF('RAW DATA'!A:A,"January 2026",'RAW DATA'!J:J)</f>
        <v>71517</v>
      </c>
      <c r="C9" s="30">
        <f>SUMIF('RAW DATA'!A:A,"February 2026",'RAW DATA'!J:J)</f>
        <v>54649</v>
      </c>
      <c r="D9" s="30">
        <f>SUMIF('RAW DATA'!A:A,"March 2026",'RAW DATA'!J:J)</f>
        <v>46665</v>
      </c>
      <c r="E9" s="30">
        <f>SUM(B9:D9)</f>
        <v>172831</v>
      </c>
      <c r="F9" s="42">
        <f t="shared" si="0"/>
        <v>-16868</v>
      </c>
      <c r="G9" s="43">
        <f>D9-C9</f>
        <v>-7984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19E9-08EF-431A-9514-A520ECE94AF7}">
  <sheetPr>
    <tabColor rgb="FF002060"/>
  </sheetPr>
  <dimension ref="A1:F4"/>
  <sheetViews>
    <sheetView showGridLines="0" zoomScale="67" workbookViewId="0">
      <selection activeCell="Q14" sqref="Q14"/>
    </sheetView>
  </sheetViews>
  <sheetFormatPr defaultRowHeight="14.5" x14ac:dyDescent="0.35"/>
  <cols>
    <col min="2" max="2" width="17.1796875" customWidth="1"/>
    <col min="3" max="3" width="12.453125" customWidth="1"/>
    <col min="4" max="4" width="16" customWidth="1"/>
    <col min="5" max="5" width="16.54296875" customWidth="1"/>
    <col min="6" max="6" width="12.7265625" customWidth="1"/>
  </cols>
  <sheetData>
    <row r="1" spans="1:6" x14ac:dyDescent="0.35">
      <c r="A1" s="21" t="s">
        <v>10</v>
      </c>
      <c r="B1" s="22" t="s">
        <v>13</v>
      </c>
      <c r="C1" s="22" t="s">
        <v>114</v>
      </c>
      <c r="D1" s="22" t="s">
        <v>115</v>
      </c>
      <c r="E1" s="22" t="s">
        <v>18</v>
      </c>
      <c r="F1" s="23" t="s">
        <v>116</v>
      </c>
    </row>
    <row r="2" spans="1:6" x14ac:dyDescent="0.35">
      <c r="A2" s="24">
        <v>46023</v>
      </c>
      <c r="B2" s="25">
        <f>ANALYSIS!B3</f>
        <v>2320266</v>
      </c>
      <c r="C2" s="26">
        <f>ANALYSIS!B6</f>
        <v>0.71412932782298122</v>
      </c>
      <c r="D2" s="27">
        <f>ANALYSIS!B7</f>
        <v>0.56047076301325749</v>
      </c>
      <c r="E2" s="25">
        <f>ANALYSIS!B9</f>
        <v>71517</v>
      </c>
      <c r="F2" s="28">
        <v>0.95</v>
      </c>
    </row>
    <row r="3" spans="1:6" x14ac:dyDescent="0.35">
      <c r="A3" s="24">
        <v>46054</v>
      </c>
      <c r="B3" s="25">
        <f>ANALYSIS!C3</f>
        <v>2117450</v>
      </c>
      <c r="C3" s="27">
        <f>ANALYSIS!C6</f>
        <v>0.73004077907792719</v>
      </c>
      <c r="D3" s="27">
        <f>ANALYSIS!C7</f>
        <v>0.58111948521970325</v>
      </c>
      <c r="E3" s="25">
        <f>ANALYSIS!C9</f>
        <v>54649</v>
      </c>
      <c r="F3" s="28">
        <v>0.95</v>
      </c>
    </row>
    <row r="4" spans="1:6" ht="15" thickBot="1" x14ac:dyDescent="0.4">
      <c r="A4" s="29">
        <v>46082</v>
      </c>
      <c r="B4" s="30">
        <f>ANALYSIS!D3</f>
        <v>2432253</v>
      </c>
      <c r="C4" s="31">
        <f>ANALYSIS!D6</f>
        <v>0.76032868940907239</v>
      </c>
      <c r="D4" s="31">
        <f>ANALYSIS!D7</f>
        <v>0.62751582263346783</v>
      </c>
      <c r="E4" s="30">
        <f>ANALYSIS!D9</f>
        <v>46665</v>
      </c>
      <c r="F4" s="32">
        <v>0.95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22A9-D806-4B84-8EDD-3F722F55E825}">
  <sheetPr>
    <tabColor rgb="FF002060"/>
  </sheetPr>
  <dimension ref="A1:M49"/>
  <sheetViews>
    <sheetView showGridLines="0" topLeftCell="A6" workbookViewId="0">
      <selection activeCell="G12" sqref="G12"/>
    </sheetView>
  </sheetViews>
  <sheetFormatPr defaultRowHeight="14.5" x14ac:dyDescent="0.35"/>
  <cols>
    <col min="1" max="1" width="69.7265625" bestFit="1" customWidth="1"/>
    <col min="2" max="2" width="15.26953125" bestFit="1" customWidth="1"/>
    <col min="3" max="4" width="6.36328125" bestFit="1" customWidth="1"/>
    <col min="5" max="5" width="10.7265625" bestFit="1" customWidth="1"/>
    <col min="9" max="9" width="69.7265625" bestFit="1" customWidth="1"/>
    <col min="10" max="10" width="15.26953125" bestFit="1" customWidth="1"/>
    <col min="11" max="11" width="5.81640625" bestFit="1" customWidth="1"/>
    <col min="12" max="12" width="6.08984375" bestFit="1" customWidth="1"/>
    <col min="13" max="13" width="10.7265625" bestFit="1" customWidth="1"/>
  </cols>
  <sheetData>
    <row r="1" spans="1:13" ht="15" thickBot="1" x14ac:dyDescent="0.4"/>
    <row r="2" spans="1:13" ht="15" thickBot="1" x14ac:dyDescent="0.4">
      <c r="I2" s="68" t="s">
        <v>139</v>
      </c>
      <c r="J2" s="69" t="s">
        <v>135</v>
      </c>
      <c r="K2" s="69"/>
      <c r="L2" s="69"/>
      <c r="M2" s="70"/>
    </row>
    <row r="3" spans="1:13" x14ac:dyDescent="0.35">
      <c r="A3" s="68" t="s">
        <v>142</v>
      </c>
      <c r="B3" s="69" t="s">
        <v>135</v>
      </c>
      <c r="C3" s="69"/>
      <c r="D3" s="69"/>
      <c r="E3" s="70"/>
      <c r="I3" s="71"/>
      <c r="J3" s="72" t="s">
        <v>136</v>
      </c>
      <c r="K3" s="72" t="s">
        <v>137</v>
      </c>
      <c r="L3" s="72" t="s">
        <v>138</v>
      </c>
      <c r="M3" s="73" t="s">
        <v>134</v>
      </c>
    </row>
    <row r="4" spans="1:13" x14ac:dyDescent="0.35">
      <c r="A4" s="71"/>
      <c r="B4" s="72" t="s">
        <v>136</v>
      </c>
      <c r="C4" s="72" t="s">
        <v>137</v>
      </c>
      <c r="D4" s="72" t="s">
        <v>138</v>
      </c>
      <c r="E4" s="73" t="s">
        <v>134</v>
      </c>
      <c r="I4" s="71"/>
      <c r="J4" s="72"/>
      <c r="K4" s="72"/>
      <c r="L4" s="72"/>
      <c r="M4" s="73"/>
    </row>
    <row r="5" spans="1:13" x14ac:dyDescent="0.35">
      <c r="A5" s="71"/>
      <c r="B5" s="72"/>
      <c r="C5" s="72"/>
      <c r="D5" s="72"/>
      <c r="E5" s="73"/>
      <c r="I5" s="71" t="s">
        <v>133</v>
      </c>
      <c r="J5" s="72"/>
      <c r="K5" s="72"/>
      <c r="L5" s="72"/>
      <c r="M5" s="73"/>
    </row>
    <row r="6" spans="1:13" x14ac:dyDescent="0.35">
      <c r="A6" s="71" t="s">
        <v>133</v>
      </c>
      <c r="B6" s="72"/>
      <c r="C6" s="72"/>
      <c r="D6" s="72"/>
      <c r="E6" s="73"/>
      <c r="I6" s="63" t="s">
        <v>61</v>
      </c>
      <c r="J6" s="64">
        <v>0.67384820408681301</v>
      </c>
      <c r="K6" s="64">
        <v>0.68940240156380894</v>
      </c>
      <c r="L6" s="64">
        <v>0.71175139897606854</v>
      </c>
      <c r="M6" s="65">
        <v>0.69166733487556353</v>
      </c>
    </row>
    <row r="7" spans="1:13" x14ac:dyDescent="0.35">
      <c r="A7" s="63" t="s">
        <v>61</v>
      </c>
      <c r="B7" s="66">
        <v>962</v>
      </c>
      <c r="C7" s="66">
        <v>815</v>
      </c>
      <c r="D7" s="66">
        <v>668</v>
      </c>
      <c r="E7" s="67">
        <v>2445</v>
      </c>
      <c r="I7" s="63" t="s">
        <v>62</v>
      </c>
      <c r="J7" s="64">
        <v>0.74863132594471893</v>
      </c>
      <c r="K7" s="64">
        <v>0.76118222705481142</v>
      </c>
      <c r="L7" s="64">
        <v>0.81041874930578695</v>
      </c>
      <c r="M7" s="65">
        <v>0.77341076743510584</v>
      </c>
    </row>
    <row r="8" spans="1:13" x14ac:dyDescent="0.35">
      <c r="A8" s="63" t="s">
        <v>62</v>
      </c>
      <c r="B8" s="66">
        <v>92</v>
      </c>
      <c r="C8" s="66">
        <v>65</v>
      </c>
      <c r="D8" s="66">
        <v>15</v>
      </c>
      <c r="E8" s="67">
        <v>172</v>
      </c>
      <c r="I8" s="63" t="s">
        <v>63</v>
      </c>
      <c r="J8" s="64">
        <v>0.70350465953919161</v>
      </c>
      <c r="K8" s="64">
        <v>0.71595466077420411</v>
      </c>
      <c r="L8" s="64">
        <v>0.72915264718185624</v>
      </c>
      <c r="M8" s="65">
        <v>0.71620398916508388</v>
      </c>
    </row>
    <row r="9" spans="1:13" x14ac:dyDescent="0.35">
      <c r="A9" s="63" t="s">
        <v>63</v>
      </c>
      <c r="B9" s="66">
        <v>2080</v>
      </c>
      <c r="C9" s="66">
        <v>1924</v>
      </c>
      <c r="D9" s="66">
        <v>1513</v>
      </c>
      <c r="E9" s="67">
        <v>5517</v>
      </c>
      <c r="I9" s="63" t="s">
        <v>101</v>
      </c>
      <c r="J9" s="64">
        <v>0.7410232011418656</v>
      </c>
      <c r="K9" s="64">
        <v>0.76442250505531106</v>
      </c>
      <c r="L9" s="64">
        <v>0.81751535041287315</v>
      </c>
      <c r="M9" s="65">
        <v>0.77432035220334994</v>
      </c>
    </row>
    <row r="10" spans="1:13" x14ac:dyDescent="0.35">
      <c r="A10" s="63" t="s">
        <v>101</v>
      </c>
      <c r="B10" s="66">
        <v>2209</v>
      </c>
      <c r="C10" s="66">
        <v>1468</v>
      </c>
      <c r="D10" s="66">
        <v>1362</v>
      </c>
      <c r="E10" s="67">
        <v>5039</v>
      </c>
      <c r="I10" s="63" t="s">
        <v>64</v>
      </c>
      <c r="J10" s="64">
        <v>0.7203465874039594</v>
      </c>
      <c r="K10" s="64">
        <v>0.73438179896811084</v>
      </c>
      <c r="L10" s="64">
        <v>0.73167170716445928</v>
      </c>
      <c r="M10" s="65">
        <v>0.72880003117884318</v>
      </c>
    </row>
    <row r="11" spans="1:13" x14ac:dyDescent="0.35">
      <c r="A11" s="63" t="s">
        <v>64</v>
      </c>
      <c r="B11" s="66">
        <v>1357</v>
      </c>
      <c r="C11" s="66">
        <v>870</v>
      </c>
      <c r="D11" s="66">
        <v>1105</v>
      </c>
      <c r="E11" s="67">
        <v>3332</v>
      </c>
      <c r="I11" s="63" t="s">
        <v>65</v>
      </c>
      <c r="J11" s="64">
        <v>0.76557362481116142</v>
      </c>
      <c r="K11" s="64">
        <v>0.79094596206608614</v>
      </c>
      <c r="L11" s="64">
        <v>0.80280810149429871</v>
      </c>
      <c r="M11" s="65">
        <v>0.78644256279051528</v>
      </c>
    </row>
    <row r="12" spans="1:13" x14ac:dyDescent="0.35">
      <c r="A12" s="63" t="s">
        <v>65</v>
      </c>
      <c r="B12" s="66">
        <v>503</v>
      </c>
      <c r="C12" s="66">
        <v>373</v>
      </c>
      <c r="D12" s="66">
        <v>282</v>
      </c>
      <c r="E12" s="67">
        <v>1158</v>
      </c>
      <c r="I12" s="63" t="s">
        <v>66</v>
      </c>
      <c r="J12" s="64">
        <v>0.67695560253699794</v>
      </c>
      <c r="K12" s="64">
        <v>0.68074022909111842</v>
      </c>
      <c r="L12" s="64">
        <v>0.71863002626793293</v>
      </c>
      <c r="M12" s="65">
        <v>0.69210861929868306</v>
      </c>
    </row>
    <row r="13" spans="1:13" x14ac:dyDescent="0.35">
      <c r="A13" s="63" t="s">
        <v>66</v>
      </c>
      <c r="B13" s="66">
        <v>1785</v>
      </c>
      <c r="C13" s="66">
        <v>1479</v>
      </c>
      <c r="D13" s="66">
        <v>1349</v>
      </c>
      <c r="E13" s="67">
        <v>4613</v>
      </c>
      <c r="I13" s="63" t="s">
        <v>67</v>
      </c>
      <c r="J13" s="64">
        <v>0.71476586905677042</v>
      </c>
      <c r="K13" s="64">
        <v>0.71609285574197235</v>
      </c>
      <c r="L13" s="64">
        <v>0.73787209096028206</v>
      </c>
      <c r="M13" s="65">
        <v>0.72291027191967494</v>
      </c>
    </row>
    <row r="14" spans="1:13" x14ac:dyDescent="0.35">
      <c r="A14" s="63" t="s">
        <v>67</v>
      </c>
      <c r="B14" s="66">
        <v>6011</v>
      </c>
      <c r="C14" s="66">
        <v>5148</v>
      </c>
      <c r="D14" s="66">
        <v>5004</v>
      </c>
      <c r="E14" s="67">
        <v>16163</v>
      </c>
      <c r="I14" s="63" t="s">
        <v>68</v>
      </c>
      <c r="J14" s="64">
        <v>0.74809422823408034</v>
      </c>
      <c r="K14" s="64">
        <v>0.74533127889060091</v>
      </c>
      <c r="L14" s="64">
        <v>0.79595174810877123</v>
      </c>
      <c r="M14" s="65">
        <v>0.76312575174448405</v>
      </c>
    </row>
    <row r="15" spans="1:13" x14ac:dyDescent="0.35">
      <c r="A15" s="63" t="s">
        <v>68</v>
      </c>
      <c r="B15" s="66">
        <v>773</v>
      </c>
      <c r="C15" s="66">
        <v>529</v>
      </c>
      <c r="D15" s="66">
        <v>467</v>
      </c>
      <c r="E15" s="67">
        <v>1769</v>
      </c>
      <c r="I15" s="63" t="s">
        <v>69</v>
      </c>
      <c r="J15" s="64">
        <v>0.71947678221059519</v>
      </c>
      <c r="K15" s="64">
        <v>0.75208404704807585</v>
      </c>
      <c r="L15" s="64">
        <v>0.80496253531507189</v>
      </c>
      <c r="M15" s="65">
        <v>0.75884112152458094</v>
      </c>
    </row>
    <row r="16" spans="1:13" x14ac:dyDescent="0.35">
      <c r="A16" s="63" t="s">
        <v>69</v>
      </c>
      <c r="B16" s="66">
        <v>811</v>
      </c>
      <c r="C16" s="66">
        <v>370</v>
      </c>
      <c r="D16" s="66">
        <v>235</v>
      </c>
      <c r="E16" s="67">
        <v>1416</v>
      </c>
      <c r="I16" s="63" t="s">
        <v>82</v>
      </c>
      <c r="J16" s="64">
        <v>0.70693168274960594</v>
      </c>
      <c r="K16" s="64">
        <v>0.73594403897863048</v>
      </c>
      <c r="L16" s="64">
        <v>0.76132164723942808</v>
      </c>
      <c r="M16" s="65">
        <v>0.73473245632255491</v>
      </c>
    </row>
    <row r="17" spans="1:13" x14ac:dyDescent="0.35">
      <c r="A17" s="63" t="s">
        <v>82</v>
      </c>
      <c r="B17" s="66">
        <v>2172</v>
      </c>
      <c r="C17" s="66">
        <v>1250</v>
      </c>
      <c r="D17" s="66">
        <v>537</v>
      </c>
      <c r="E17" s="67">
        <v>3959</v>
      </c>
      <c r="I17" s="63" t="s">
        <v>71</v>
      </c>
      <c r="J17" s="64">
        <v>0.66803983606905482</v>
      </c>
      <c r="K17" s="64">
        <v>0.67309090056505128</v>
      </c>
      <c r="L17" s="64">
        <v>0.69665384538732888</v>
      </c>
      <c r="M17" s="65">
        <v>0.67926152734047829</v>
      </c>
    </row>
    <row r="18" spans="1:13" x14ac:dyDescent="0.35">
      <c r="A18" s="63" t="s">
        <v>71</v>
      </c>
      <c r="B18" s="66">
        <v>1343</v>
      </c>
      <c r="C18" s="66">
        <v>963</v>
      </c>
      <c r="D18" s="66">
        <v>590</v>
      </c>
      <c r="E18" s="67">
        <v>2896</v>
      </c>
      <c r="I18" s="63" t="s">
        <v>72</v>
      </c>
      <c r="J18" s="64">
        <v>0.6772696904461436</v>
      </c>
      <c r="K18" s="64">
        <v>0.67859634721937201</v>
      </c>
      <c r="L18" s="64">
        <v>0.71256966801675492</v>
      </c>
      <c r="M18" s="65">
        <v>0.68947856856075684</v>
      </c>
    </row>
    <row r="19" spans="1:13" x14ac:dyDescent="0.35">
      <c r="A19" s="63" t="s">
        <v>72</v>
      </c>
      <c r="B19" s="66">
        <v>812</v>
      </c>
      <c r="C19" s="66">
        <v>545</v>
      </c>
      <c r="D19" s="66">
        <v>593</v>
      </c>
      <c r="E19" s="67">
        <v>1950</v>
      </c>
      <c r="I19" s="63" t="s">
        <v>74</v>
      </c>
      <c r="J19" s="64">
        <v>0.68132391682080606</v>
      </c>
      <c r="K19" s="64">
        <v>0.72042233604625583</v>
      </c>
      <c r="L19" s="64">
        <v>0.78545884683098588</v>
      </c>
      <c r="M19" s="65">
        <v>0.72906836656601592</v>
      </c>
    </row>
    <row r="20" spans="1:13" x14ac:dyDescent="0.35">
      <c r="A20" s="63" t="s">
        <v>74</v>
      </c>
      <c r="B20" s="66">
        <v>743</v>
      </c>
      <c r="C20" s="66">
        <v>713</v>
      </c>
      <c r="D20" s="66">
        <v>637</v>
      </c>
      <c r="E20" s="67">
        <v>2093</v>
      </c>
      <c r="I20" s="63" t="s">
        <v>75</v>
      </c>
      <c r="J20" s="64">
        <v>0.75149714079877528</v>
      </c>
      <c r="K20" s="64">
        <v>0.76453488372093026</v>
      </c>
      <c r="L20" s="64">
        <v>0.7732438899333447</v>
      </c>
      <c r="M20" s="65">
        <v>0.76309197148435004</v>
      </c>
    </row>
    <row r="21" spans="1:13" x14ac:dyDescent="0.35">
      <c r="A21" s="63" t="s">
        <v>75</v>
      </c>
      <c r="B21" s="66">
        <v>543</v>
      </c>
      <c r="C21" s="66">
        <v>510</v>
      </c>
      <c r="D21" s="66">
        <v>489</v>
      </c>
      <c r="E21" s="67">
        <v>1542</v>
      </c>
      <c r="I21" s="63" t="s">
        <v>76</v>
      </c>
      <c r="J21" s="64">
        <v>0.6832770008372353</v>
      </c>
      <c r="K21" s="64">
        <v>0.68744968708613574</v>
      </c>
      <c r="L21" s="64">
        <v>0.74099769249453484</v>
      </c>
      <c r="M21" s="65">
        <v>0.70390812680596859</v>
      </c>
    </row>
    <row r="22" spans="1:13" x14ac:dyDescent="0.35">
      <c r="A22" s="63" t="s">
        <v>76</v>
      </c>
      <c r="B22" s="66">
        <v>4364</v>
      </c>
      <c r="C22" s="66">
        <v>3418</v>
      </c>
      <c r="D22" s="66">
        <v>2485</v>
      </c>
      <c r="E22" s="67">
        <v>10267</v>
      </c>
      <c r="I22" s="63" t="s">
        <v>77</v>
      </c>
      <c r="J22" s="64">
        <v>0.73619760793553135</v>
      </c>
      <c r="K22" s="64">
        <v>0.77050597761926143</v>
      </c>
      <c r="L22" s="64">
        <v>0.78300542980043719</v>
      </c>
      <c r="M22" s="65">
        <v>0.76323633845174343</v>
      </c>
    </row>
    <row r="23" spans="1:13" x14ac:dyDescent="0.35">
      <c r="A23" s="63" t="s">
        <v>77</v>
      </c>
      <c r="B23" s="66">
        <v>1771</v>
      </c>
      <c r="C23" s="66">
        <v>1226</v>
      </c>
      <c r="D23" s="66">
        <v>1121</v>
      </c>
      <c r="E23" s="67">
        <v>4118</v>
      </c>
      <c r="I23" s="63" t="s">
        <v>79</v>
      </c>
      <c r="J23" s="64">
        <v>0.6344869925562121</v>
      </c>
      <c r="K23" s="64">
        <v>0.66008510638297868</v>
      </c>
      <c r="L23" s="64">
        <v>0.69382565718788047</v>
      </c>
      <c r="M23" s="65">
        <v>0.66279925204235701</v>
      </c>
    </row>
    <row r="24" spans="1:13" x14ac:dyDescent="0.35">
      <c r="A24" s="63" t="s">
        <v>79</v>
      </c>
      <c r="B24" s="66">
        <v>1706</v>
      </c>
      <c r="C24" s="66">
        <v>1293</v>
      </c>
      <c r="D24" s="66">
        <v>1069</v>
      </c>
      <c r="E24" s="67">
        <v>4068</v>
      </c>
      <c r="I24" s="63" t="s">
        <v>80</v>
      </c>
      <c r="J24" s="64">
        <v>0.77895575926664007</v>
      </c>
      <c r="K24" s="64">
        <v>0.78614777213761988</v>
      </c>
      <c r="L24" s="64">
        <v>0.82638028362935423</v>
      </c>
      <c r="M24" s="65">
        <v>0.79716127167787132</v>
      </c>
    </row>
    <row r="25" spans="1:13" x14ac:dyDescent="0.35">
      <c r="A25" s="63" t="s">
        <v>80</v>
      </c>
      <c r="B25" s="66">
        <v>670</v>
      </c>
      <c r="C25" s="66">
        <v>524</v>
      </c>
      <c r="D25" s="66">
        <v>275</v>
      </c>
      <c r="E25" s="67">
        <v>1469</v>
      </c>
      <c r="I25" s="63" t="s">
        <v>81</v>
      </c>
      <c r="J25" s="64">
        <v>0.68908218172924052</v>
      </c>
      <c r="K25" s="64">
        <v>0.71731516884619095</v>
      </c>
      <c r="L25" s="64">
        <v>0.74521072796934862</v>
      </c>
      <c r="M25" s="65">
        <v>0.71720269284825999</v>
      </c>
    </row>
    <row r="26" spans="1:13" x14ac:dyDescent="0.35">
      <c r="A26" s="63" t="s">
        <v>81</v>
      </c>
      <c r="B26" s="66">
        <v>2968</v>
      </c>
      <c r="C26" s="66">
        <v>1702</v>
      </c>
      <c r="D26" s="66">
        <v>1337</v>
      </c>
      <c r="E26" s="67">
        <v>6007</v>
      </c>
      <c r="I26" s="63" t="s">
        <v>83</v>
      </c>
      <c r="J26" s="64">
        <v>0.79108759602091416</v>
      </c>
      <c r="K26" s="64">
        <v>0.80503338118349399</v>
      </c>
      <c r="L26" s="64">
        <v>0.81601213128054551</v>
      </c>
      <c r="M26" s="65">
        <v>0.80404436949498448</v>
      </c>
    </row>
    <row r="27" spans="1:13" x14ac:dyDescent="0.35">
      <c r="A27" s="63" t="s">
        <v>83</v>
      </c>
      <c r="B27" s="66">
        <v>3208</v>
      </c>
      <c r="C27" s="66">
        <v>2529</v>
      </c>
      <c r="D27" s="66">
        <v>2336</v>
      </c>
      <c r="E27" s="67">
        <v>8073</v>
      </c>
      <c r="I27" s="63" t="s">
        <v>78</v>
      </c>
      <c r="J27" s="64">
        <v>0.74437492559425389</v>
      </c>
      <c r="K27" s="64">
        <v>0.74717984686422356</v>
      </c>
      <c r="L27" s="64">
        <v>0.78493148895594134</v>
      </c>
      <c r="M27" s="65">
        <v>0.7588287538048063</v>
      </c>
    </row>
    <row r="28" spans="1:13" x14ac:dyDescent="0.35">
      <c r="A28" s="63" t="s">
        <v>78</v>
      </c>
      <c r="B28" s="66">
        <v>3343</v>
      </c>
      <c r="C28" s="66">
        <v>2842</v>
      </c>
      <c r="D28" s="66">
        <v>2260</v>
      </c>
      <c r="E28" s="67">
        <v>8445</v>
      </c>
      <c r="I28" s="63" t="s">
        <v>84</v>
      </c>
      <c r="J28" s="64">
        <v>0.76405950215533347</v>
      </c>
      <c r="K28" s="64">
        <v>0.77041459006517332</v>
      </c>
      <c r="L28" s="64">
        <v>0.79536014349098461</v>
      </c>
      <c r="M28" s="65">
        <v>0.77661141190383043</v>
      </c>
    </row>
    <row r="29" spans="1:13" x14ac:dyDescent="0.35">
      <c r="A29" s="63" t="s">
        <v>84</v>
      </c>
      <c r="B29" s="66">
        <v>1017</v>
      </c>
      <c r="C29" s="66">
        <v>727</v>
      </c>
      <c r="D29" s="66">
        <v>592</v>
      </c>
      <c r="E29" s="67">
        <v>2336</v>
      </c>
      <c r="I29" s="63" t="s">
        <v>85</v>
      </c>
      <c r="J29" s="64">
        <v>0.72467445742904846</v>
      </c>
      <c r="K29" s="64">
        <v>0.74977194582836293</v>
      </c>
      <c r="L29" s="64">
        <v>0.81264301186807819</v>
      </c>
      <c r="M29" s="65">
        <v>0.76236313837516312</v>
      </c>
    </row>
    <row r="30" spans="1:13" x14ac:dyDescent="0.35">
      <c r="A30" s="63" t="s">
        <v>85</v>
      </c>
      <c r="B30" s="66">
        <v>1595</v>
      </c>
      <c r="C30" s="66">
        <v>1296</v>
      </c>
      <c r="D30" s="66">
        <v>1132</v>
      </c>
      <c r="E30" s="67">
        <v>4023</v>
      </c>
      <c r="I30" s="63" t="s">
        <v>86</v>
      </c>
      <c r="J30" s="64">
        <v>0.6474651645419508</v>
      </c>
      <c r="K30" s="64">
        <v>0.65705239829032769</v>
      </c>
      <c r="L30" s="64">
        <v>0.68050028425241615</v>
      </c>
      <c r="M30" s="65">
        <v>0.66167261569489821</v>
      </c>
    </row>
    <row r="31" spans="1:13" x14ac:dyDescent="0.35">
      <c r="A31" s="63" t="s">
        <v>86</v>
      </c>
      <c r="B31" s="66">
        <v>951</v>
      </c>
      <c r="C31" s="66">
        <v>1184</v>
      </c>
      <c r="D31" s="66">
        <v>793</v>
      </c>
      <c r="E31" s="67">
        <v>2928</v>
      </c>
      <c r="I31" s="63" t="s">
        <v>87</v>
      </c>
      <c r="J31" s="64">
        <v>0.7371615814353244</v>
      </c>
      <c r="K31" s="64">
        <v>0.74793103448275866</v>
      </c>
      <c r="L31" s="64">
        <v>0.76675623414781147</v>
      </c>
      <c r="M31" s="65">
        <v>0.75061628335529818</v>
      </c>
    </row>
    <row r="32" spans="1:13" x14ac:dyDescent="0.35">
      <c r="A32" s="63" t="s">
        <v>87</v>
      </c>
      <c r="B32" s="66">
        <v>1201</v>
      </c>
      <c r="C32" s="66">
        <v>899</v>
      </c>
      <c r="D32" s="66">
        <v>796</v>
      </c>
      <c r="E32" s="67">
        <v>2896</v>
      </c>
      <c r="I32" s="63" t="s">
        <v>88</v>
      </c>
      <c r="J32" s="64">
        <v>0.74955391105885605</v>
      </c>
      <c r="K32" s="64">
        <v>0.7781647116324536</v>
      </c>
      <c r="L32" s="64">
        <v>0.81351441760888477</v>
      </c>
      <c r="M32" s="65">
        <v>0.78041101343339825</v>
      </c>
    </row>
    <row r="33" spans="1:13" x14ac:dyDescent="0.35">
      <c r="A33" s="63" t="s">
        <v>88</v>
      </c>
      <c r="B33" s="66">
        <v>3201</v>
      </c>
      <c r="C33" s="66">
        <v>2426</v>
      </c>
      <c r="D33" s="66">
        <v>2074</v>
      </c>
      <c r="E33" s="67">
        <v>7701</v>
      </c>
      <c r="I33" s="63" t="s">
        <v>70</v>
      </c>
      <c r="J33" s="64">
        <v>0.74884155844155842</v>
      </c>
      <c r="K33" s="64">
        <v>0.76782206687429511</v>
      </c>
      <c r="L33" s="64">
        <v>0.80586916201911585</v>
      </c>
      <c r="M33" s="65">
        <v>0.77417759577832312</v>
      </c>
    </row>
    <row r="34" spans="1:13" x14ac:dyDescent="0.35">
      <c r="A34" s="63" t="s">
        <v>70</v>
      </c>
      <c r="B34" s="66">
        <v>809</v>
      </c>
      <c r="C34" s="66">
        <v>535</v>
      </c>
      <c r="D34" s="66">
        <v>376</v>
      </c>
      <c r="E34" s="67">
        <v>1720</v>
      </c>
      <c r="I34" s="63" t="s">
        <v>73</v>
      </c>
      <c r="J34" s="64">
        <v>0.75553057072491703</v>
      </c>
      <c r="K34" s="64">
        <v>0.78444091842449137</v>
      </c>
      <c r="L34" s="64">
        <v>0.79632366717322067</v>
      </c>
      <c r="M34" s="65">
        <v>0.7787650521075431</v>
      </c>
    </row>
    <row r="35" spans="1:13" x14ac:dyDescent="0.35">
      <c r="A35" s="63" t="s">
        <v>73</v>
      </c>
      <c r="B35" s="66">
        <v>2749</v>
      </c>
      <c r="C35" s="66">
        <v>1918</v>
      </c>
      <c r="D35" s="66">
        <v>1837</v>
      </c>
      <c r="E35" s="67">
        <v>6504</v>
      </c>
      <c r="I35" s="63" t="s">
        <v>89</v>
      </c>
      <c r="J35" s="64">
        <v>0.77825638306936407</v>
      </c>
      <c r="K35" s="64">
        <v>0.80096717529787731</v>
      </c>
      <c r="L35" s="64">
        <v>0.83481109897636196</v>
      </c>
      <c r="M35" s="65">
        <v>0.80467821911453452</v>
      </c>
    </row>
    <row r="36" spans="1:13" x14ac:dyDescent="0.35">
      <c r="A36" s="63" t="s">
        <v>89</v>
      </c>
      <c r="B36" s="66">
        <v>864</v>
      </c>
      <c r="C36" s="66">
        <v>435</v>
      </c>
      <c r="D36" s="66">
        <v>467</v>
      </c>
      <c r="E36" s="67">
        <v>1766</v>
      </c>
      <c r="I36" s="63" t="s">
        <v>90</v>
      </c>
      <c r="J36" s="64">
        <v>0.73647842969394928</v>
      </c>
      <c r="K36" s="64">
        <v>0.74715674962914125</v>
      </c>
      <c r="L36" s="64">
        <v>0.78139042330919606</v>
      </c>
      <c r="M36" s="65">
        <v>0.75500853421076231</v>
      </c>
    </row>
    <row r="37" spans="1:13" x14ac:dyDescent="0.35">
      <c r="A37" s="63" t="s">
        <v>90</v>
      </c>
      <c r="B37" s="66">
        <v>1570</v>
      </c>
      <c r="C37" s="66">
        <v>1360</v>
      </c>
      <c r="D37" s="66">
        <v>1327</v>
      </c>
      <c r="E37" s="67">
        <v>4257</v>
      </c>
      <c r="I37" s="63" t="s">
        <v>91</v>
      </c>
      <c r="J37" s="64">
        <v>0.64017518822892572</v>
      </c>
      <c r="K37" s="64">
        <v>0.66878128429561823</v>
      </c>
      <c r="L37" s="64">
        <v>0.70597817234077209</v>
      </c>
      <c r="M37" s="65">
        <v>0.67164488162177205</v>
      </c>
    </row>
    <row r="38" spans="1:13" x14ac:dyDescent="0.35">
      <c r="A38" s="63" t="s">
        <v>91</v>
      </c>
      <c r="B38" s="66">
        <v>1716</v>
      </c>
      <c r="C38" s="66">
        <v>1431</v>
      </c>
      <c r="D38" s="66">
        <v>1477</v>
      </c>
      <c r="E38" s="67">
        <v>4624</v>
      </c>
      <c r="I38" s="63" t="s">
        <v>93</v>
      </c>
      <c r="J38" s="64">
        <v>0.60108121699773698</v>
      </c>
      <c r="K38" s="64">
        <v>0.60841381135070771</v>
      </c>
      <c r="L38" s="64">
        <v>0.61454356126345022</v>
      </c>
      <c r="M38" s="65">
        <v>0.60801286320396497</v>
      </c>
    </row>
    <row r="39" spans="1:13" x14ac:dyDescent="0.35">
      <c r="A39" s="63" t="s">
        <v>93</v>
      </c>
      <c r="B39" s="66">
        <v>1601</v>
      </c>
      <c r="C39" s="66">
        <v>1366</v>
      </c>
      <c r="D39" s="66">
        <v>1173</v>
      </c>
      <c r="E39" s="67">
        <v>4140</v>
      </c>
      <c r="I39" s="63" t="s">
        <v>94</v>
      </c>
      <c r="J39" s="64">
        <v>0.67288698955365622</v>
      </c>
      <c r="K39" s="64">
        <v>0.70195029883611193</v>
      </c>
      <c r="L39" s="64">
        <v>0.72823242404080724</v>
      </c>
      <c r="M39" s="65">
        <v>0.70102323747685846</v>
      </c>
    </row>
    <row r="40" spans="1:13" x14ac:dyDescent="0.35">
      <c r="A40" s="63" t="s">
        <v>94</v>
      </c>
      <c r="B40" s="66">
        <v>330</v>
      </c>
      <c r="C40" s="66">
        <v>196</v>
      </c>
      <c r="D40" s="66">
        <v>73</v>
      </c>
      <c r="E40" s="67">
        <v>599</v>
      </c>
      <c r="I40" s="63" t="s">
        <v>92</v>
      </c>
      <c r="J40" s="64">
        <v>0.72570264562166487</v>
      </c>
      <c r="K40" s="64">
        <v>0.73943457924582967</v>
      </c>
      <c r="L40" s="64">
        <v>0.75452035804342887</v>
      </c>
      <c r="M40" s="65">
        <v>0.73988586097030773</v>
      </c>
    </row>
    <row r="41" spans="1:13" x14ac:dyDescent="0.35">
      <c r="A41" s="63" t="s">
        <v>92</v>
      </c>
      <c r="B41" s="66">
        <v>2147</v>
      </c>
      <c r="C41" s="66">
        <v>1603</v>
      </c>
      <c r="D41" s="66">
        <v>1217</v>
      </c>
      <c r="E41" s="67">
        <v>4967</v>
      </c>
      <c r="I41" s="63" t="s">
        <v>95</v>
      </c>
      <c r="J41" s="64">
        <v>0.72975341922040116</v>
      </c>
      <c r="K41" s="64">
        <v>0.7304665284631896</v>
      </c>
      <c r="L41" s="64">
        <v>0.7781393999935553</v>
      </c>
      <c r="M41" s="65">
        <v>0.74611978255904854</v>
      </c>
    </row>
    <row r="42" spans="1:13" x14ac:dyDescent="0.35">
      <c r="A42" s="63" t="s">
        <v>95</v>
      </c>
      <c r="B42" s="66">
        <v>3091</v>
      </c>
      <c r="C42" s="66">
        <v>2327</v>
      </c>
      <c r="D42" s="66">
        <v>2228</v>
      </c>
      <c r="E42" s="67">
        <v>7646</v>
      </c>
      <c r="I42" s="63" t="s">
        <v>96</v>
      </c>
      <c r="J42" s="64">
        <v>0.68635350449929833</v>
      </c>
      <c r="K42" s="64">
        <v>0.73662012798138454</v>
      </c>
      <c r="L42" s="64">
        <v>0.77906440376019981</v>
      </c>
      <c r="M42" s="65">
        <v>0.73401267874696086</v>
      </c>
    </row>
    <row r="43" spans="1:13" x14ac:dyDescent="0.35">
      <c r="A43" s="63" t="s">
        <v>96</v>
      </c>
      <c r="B43" s="66">
        <v>486</v>
      </c>
      <c r="C43" s="66">
        <v>261</v>
      </c>
      <c r="D43" s="66">
        <v>145</v>
      </c>
      <c r="E43" s="67">
        <v>892</v>
      </c>
      <c r="I43" s="63" t="s">
        <v>97</v>
      </c>
      <c r="J43" s="64">
        <v>0.63577549991598048</v>
      </c>
      <c r="K43" s="64">
        <v>0.64753914486966668</v>
      </c>
      <c r="L43" s="64">
        <v>0.66448496182016514</v>
      </c>
      <c r="M43" s="65">
        <v>0.64926653553527081</v>
      </c>
    </row>
    <row r="44" spans="1:13" x14ac:dyDescent="0.35">
      <c r="A44" s="63" t="s">
        <v>97</v>
      </c>
      <c r="B44" s="66">
        <v>1264</v>
      </c>
      <c r="C44" s="66">
        <v>927</v>
      </c>
      <c r="D44" s="66">
        <v>820</v>
      </c>
      <c r="E44" s="67">
        <v>3011</v>
      </c>
      <c r="I44" s="63" t="s">
        <v>98</v>
      </c>
      <c r="J44" s="64">
        <v>0.72743758689475913</v>
      </c>
      <c r="K44" s="64">
        <v>0.73751906119472255</v>
      </c>
      <c r="L44" s="64">
        <v>0.77122853905818789</v>
      </c>
      <c r="M44" s="65">
        <v>0.74539506238255659</v>
      </c>
    </row>
    <row r="45" spans="1:13" x14ac:dyDescent="0.35">
      <c r="A45" s="63" t="s">
        <v>98</v>
      </c>
      <c r="B45" s="66">
        <v>1366</v>
      </c>
      <c r="C45" s="66">
        <v>1105</v>
      </c>
      <c r="D45" s="66">
        <v>877</v>
      </c>
      <c r="E45" s="67">
        <v>3348</v>
      </c>
      <c r="I45" s="63" t="s">
        <v>99</v>
      </c>
      <c r="J45" s="64">
        <v>0.68342869422730812</v>
      </c>
      <c r="K45" s="64">
        <v>0.68655138094053247</v>
      </c>
      <c r="L45" s="64">
        <v>0.7066691887801978</v>
      </c>
      <c r="M45" s="65">
        <v>0.6922164213160128</v>
      </c>
    </row>
    <row r="46" spans="1:13" x14ac:dyDescent="0.35">
      <c r="A46" s="63" t="s">
        <v>99</v>
      </c>
      <c r="B46" s="66">
        <v>1343</v>
      </c>
      <c r="C46" s="66">
        <v>1053</v>
      </c>
      <c r="D46" s="66">
        <v>1050</v>
      </c>
      <c r="E46" s="67">
        <v>3446</v>
      </c>
      <c r="I46" s="63" t="s">
        <v>100</v>
      </c>
      <c r="J46" s="64">
        <v>0.73751446424438782</v>
      </c>
      <c r="K46" s="64">
        <v>0.7389131146693324</v>
      </c>
      <c r="L46" s="64">
        <v>0.76738754453133085</v>
      </c>
      <c r="M46" s="65">
        <v>0.74793837448168377</v>
      </c>
    </row>
    <row r="47" spans="1:13" x14ac:dyDescent="0.35">
      <c r="A47" s="63" t="s">
        <v>100</v>
      </c>
      <c r="B47" s="66">
        <v>1393</v>
      </c>
      <c r="C47" s="66">
        <v>1059</v>
      </c>
      <c r="D47" s="66">
        <v>1063</v>
      </c>
      <c r="E47" s="67">
        <v>3515</v>
      </c>
      <c r="I47" s="63" t="s">
        <v>102</v>
      </c>
      <c r="J47" s="64">
        <v>0.75655658482021659</v>
      </c>
      <c r="K47" s="64">
        <v>0.76495838599670907</v>
      </c>
      <c r="L47" s="64">
        <v>0.79604229478958766</v>
      </c>
      <c r="M47" s="65">
        <v>0.77251908853550455</v>
      </c>
    </row>
    <row r="48" spans="1:13" ht="15" thickBot="1" x14ac:dyDescent="0.4">
      <c r="A48" s="63" t="s">
        <v>102</v>
      </c>
      <c r="B48" s="66">
        <v>2597</v>
      </c>
      <c r="C48" s="66">
        <v>1985</v>
      </c>
      <c r="D48" s="66">
        <v>1419</v>
      </c>
      <c r="E48" s="67">
        <v>6001</v>
      </c>
      <c r="I48" s="74" t="s">
        <v>134</v>
      </c>
      <c r="J48" s="75">
        <v>0.71412932782298133</v>
      </c>
      <c r="K48" s="75">
        <v>0.73004077907792708</v>
      </c>
      <c r="L48" s="75">
        <v>0.76032868940907239</v>
      </c>
      <c r="M48" s="76">
        <v>0.73483293210332679</v>
      </c>
    </row>
    <row r="49" spans="1:5" ht="15" thickBot="1" x14ac:dyDescent="0.4">
      <c r="A49" s="74" t="s">
        <v>134</v>
      </c>
      <c r="B49" s="77">
        <v>71517</v>
      </c>
      <c r="C49" s="77">
        <v>54649</v>
      </c>
      <c r="D49" s="77">
        <v>46665</v>
      </c>
      <c r="E49" s="78">
        <v>172831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64B12-5B9A-4786-9CCF-8E0A4591705A}">
  <sheetPr>
    <tabColor rgb="FF002060"/>
  </sheetPr>
  <dimension ref="A1:Q21"/>
  <sheetViews>
    <sheetView tabSelected="1" workbookViewId="0">
      <selection activeCell="C7" sqref="C7"/>
    </sheetView>
  </sheetViews>
  <sheetFormatPr defaultRowHeight="14.5" x14ac:dyDescent="0.35"/>
  <cols>
    <col min="1" max="1" width="17.36328125" customWidth="1"/>
  </cols>
  <sheetData>
    <row r="1" spans="1:17" ht="21" x14ac:dyDescent="0.5">
      <c r="A1" s="33" t="s">
        <v>117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</row>
    <row r="2" spans="1:17" ht="21" x14ac:dyDescent="0.5">
      <c r="A2" s="17" t="s">
        <v>118</v>
      </c>
    </row>
    <row r="3" spans="1:17" ht="15.5" x14ac:dyDescent="0.35">
      <c r="A3" s="19" t="s">
        <v>119</v>
      </c>
    </row>
    <row r="4" spans="1:17" x14ac:dyDescent="0.35">
      <c r="A4" s="18">
        <v>1</v>
      </c>
      <c r="B4" t="s">
        <v>120</v>
      </c>
    </row>
    <row r="5" spans="1:17" x14ac:dyDescent="0.35">
      <c r="A5" s="18">
        <v>2</v>
      </c>
      <c r="B5" t="s">
        <v>121</v>
      </c>
    </row>
    <row r="6" spans="1:17" x14ac:dyDescent="0.35">
      <c r="A6" s="18">
        <v>3</v>
      </c>
      <c r="B6" t="s">
        <v>122</v>
      </c>
    </row>
    <row r="7" spans="1:17" x14ac:dyDescent="0.35">
      <c r="A7" s="18">
        <v>4</v>
      </c>
      <c r="B7" t="s">
        <v>123</v>
      </c>
    </row>
    <row r="8" spans="1:17" x14ac:dyDescent="0.35">
      <c r="A8" s="18">
        <v>5</v>
      </c>
      <c r="B8" t="s">
        <v>124</v>
      </c>
    </row>
    <row r="9" spans="1:17" x14ac:dyDescent="0.35">
      <c r="A9" s="18">
        <v>6</v>
      </c>
      <c r="B9" t="s">
        <v>140</v>
      </c>
    </row>
    <row r="10" spans="1:17" x14ac:dyDescent="0.35">
      <c r="A10" s="18">
        <v>7</v>
      </c>
      <c r="B10" t="s">
        <v>141</v>
      </c>
    </row>
    <row r="11" spans="1:17" x14ac:dyDescent="0.35">
      <c r="A11" s="18">
        <v>8</v>
      </c>
      <c r="B11" t="s">
        <v>143</v>
      </c>
    </row>
    <row r="12" spans="1:17" x14ac:dyDescent="0.35">
      <c r="A12" s="18"/>
    </row>
    <row r="13" spans="1:17" ht="15.5" x14ac:dyDescent="0.35">
      <c r="A13" s="79" t="s">
        <v>125</v>
      </c>
    </row>
    <row r="14" spans="1:17" x14ac:dyDescent="0.35">
      <c r="A14" s="18">
        <v>1</v>
      </c>
      <c r="B14" t="s">
        <v>126</v>
      </c>
    </row>
    <row r="15" spans="1:17" x14ac:dyDescent="0.35">
      <c r="A15" s="18">
        <v>2</v>
      </c>
      <c r="B15" t="s">
        <v>127</v>
      </c>
    </row>
    <row r="16" spans="1:17" x14ac:dyDescent="0.35">
      <c r="A16" s="18">
        <v>3</v>
      </c>
      <c r="B16" t="s">
        <v>128</v>
      </c>
    </row>
    <row r="17" spans="1:2" x14ac:dyDescent="0.35">
      <c r="A17" s="20"/>
    </row>
    <row r="18" spans="1:2" x14ac:dyDescent="0.35">
      <c r="A18" s="80" t="s">
        <v>129</v>
      </c>
    </row>
    <row r="19" spans="1:2" x14ac:dyDescent="0.35">
      <c r="A19" s="18">
        <v>1</v>
      </c>
      <c r="B19" t="s">
        <v>130</v>
      </c>
    </row>
    <row r="20" spans="1:2" x14ac:dyDescent="0.35">
      <c r="A20" s="18">
        <v>2</v>
      </c>
      <c r="B20" t="s">
        <v>131</v>
      </c>
    </row>
    <row r="21" spans="1:2" x14ac:dyDescent="0.35">
      <c r="A21" s="18">
        <v>3</v>
      </c>
      <c r="B21" t="s">
        <v>132</v>
      </c>
    </row>
  </sheetData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RAW DATA</vt:lpstr>
      <vt:lpstr>ANALYSIS</vt:lpstr>
      <vt:lpstr>CHARTS</vt:lpstr>
      <vt:lpstr>PIVOT</vt:lpstr>
      <vt:lpstr>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Aninan kismis</dc:creator>
  <cp:lastModifiedBy>Aninan kismis</cp:lastModifiedBy>
  <dcterms:created xsi:type="dcterms:W3CDTF">2026-05-03T16:03:36Z</dcterms:created>
  <dcterms:modified xsi:type="dcterms:W3CDTF">2026-05-04T13:46:53Z</dcterms:modified>
</cp:coreProperties>
</file>